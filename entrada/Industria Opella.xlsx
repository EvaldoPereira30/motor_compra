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valdoAlves\Downloads\"/>
    </mc:Choice>
  </mc:AlternateContent>
  <xr:revisionPtr revIDLastSave="0" documentId="8_{1DC0F737-61B0-4DC0-922C-A7AFD662B804}" xr6:coauthVersionLast="47" xr6:coauthVersionMax="47" xr10:uidLastSave="{00000000-0000-0000-0000-000000000000}"/>
  <bookViews>
    <workbookView xWindow="-120" yWindow="-120" windowWidth="20730" windowHeight="11040" firstSheet="1" activeTab="1" xr2:uid="{5EEB1A2F-69C5-4555-882A-7365208B9F4F}"/>
  </bookViews>
  <sheets>
    <sheet name="Planilha3" sheetId="7" state="hidden" r:id="rId1"/>
    <sheet name="Planilha2" sheetId="11" r:id="rId2"/>
    <sheet name="Planilha1" sheetId="1" state="hidden" r:id="rId3"/>
  </sheets>
  <definedNames>
    <definedName name="_xlnm._FilterDatabase" localSheetId="2" hidden="1">Planilha1!$A$1:$O$160</definedName>
    <definedName name="_xlnm._FilterDatabase" localSheetId="1" hidden="1">Planilha2!$A$1:$K$55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0" i="1" l="1"/>
  <c r="R160" i="1"/>
  <c r="P160" i="1"/>
  <c r="S159" i="1"/>
  <c r="R159" i="1"/>
  <c r="P159" i="1"/>
  <c r="S158" i="1"/>
  <c r="R158" i="1"/>
  <c r="P158" i="1"/>
  <c r="S157" i="1"/>
  <c r="R157" i="1"/>
  <c r="P157" i="1"/>
  <c r="S156" i="1"/>
  <c r="R156" i="1"/>
  <c r="P156" i="1"/>
  <c r="S155" i="1"/>
  <c r="R155" i="1"/>
  <c r="P155" i="1"/>
  <c r="S154" i="1"/>
  <c r="R154" i="1"/>
  <c r="P154" i="1"/>
  <c r="S153" i="1"/>
  <c r="R153" i="1"/>
  <c r="P153" i="1"/>
  <c r="S152" i="1"/>
  <c r="R152" i="1"/>
  <c r="P152" i="1"/>
  <c r="S151" i="1"/>
  <c r="R151" i="1"/>
  <c r="P151" i="1"/>
  <c r="S150" i="1"/>
  <c r="R150" i="1"/>
  <c r="P150" i="1"/>
  <c r="S149" i="1"/>
  <c r="R149" i="1"/>
  <c r="P149" i="1"/>
  <c r="S148" i="1"/>
  <c r="R148" i="1"/>
  <c r="P148" i="1"/>
  <c r="S147" i="1"/>
  <c r="R147" i="1"/>
  <c r="P147" i="1"/>
  <c r="S146" i="1"/>
  <c r="R146" i="1"/>
  <c r="P146" i="1"/>
  <c r="S145" i="1"/>
  <c r="R145" i="1"/>
  <c r="P145" i="1"/>
  <c r="S144" i="1"/>
  <c r="R144" i="1"/>
  <c r="P144" i="1"/>
  <c r="S143" i="1"/>
  <c r="R143" i="1"/>
  <c r="P143" i="1"/>
  <c r="S142" i="1"/>
  <c r="R142" i="1"/>
  <c r="P142" i="1"/>
  <c r="D142" i="1"/>
  <c r="C142" i="1"/>
  <c r="S141" i="1"/>
  <c r="R141" i="1"/>
  <c r="P141" i="1"/>
  <c r="S140" i="1"/>
  <c r="R140" i="1"/>
  <c r="P140" i="1"/>
  <c r="S139" i="1"/>
  <c r="R139" i="1"/>
  <c r="P139" i="1"/>
  <c r="S138" i="1"/>
  <c r="R138" i="1"/>
  <c r="P138" i="1"/>
  <c r="D138" i="1"/>
  <c r="C138" i="1"/>
  <c r="S137" i="1"/>
  <c r="R137" i="1"/>
  <c r="P137" i="1"/>
  <c r="S136" i="1"/>
  <c r="R136" i="1"/>
  <c r="P136" i="1"/>
  <c r="S135" i="1"/>
  <c r="R135" i="1"/>
  <c r="P135" i="1"/>
  <c r="S134" i="1"/>
  <c r="R134" i="1"/>
  <c r="P134" i="1"/>
  <c r="D134" i="1"/>
  <c r="C134" i="1"/>
  <c r="S133" i="1"/>
  <c r="R133" i="1"/>
  <c r="P133" i="1"/>
  <c r="S132" i="1"/>
  <c r="R132" i="1"/>
  <c r="P132" i="1"/>
  <c r="S131" i="1"/>
  <c r="R131" i="1"/>
  <c r="P131" i="1"/>
  <c r="S130" i="1"/>
  <c r="R130" i="1"/>
  <c r="P130" i="1"/>
  <c r="D130" i="1"/>
  <c r="C130" i="1"/>
  <c r="S129" i="1"/>
  <c r="R129" i="1"/>
  <c r="P129" i="1"/>
  <c r="S128" i="1"/>
  <c r="R128" i="1"/>
  <c r="P128" i="1"/>
  <c r="S127" i="1"/>
  <c r="R127" i="1"/>
  <c r="P127" i="1"/>
  <c r="S126" i="1"/>
  <c r="R126" i="1"/>
  <c r="P126" i="1"/>
  <c r="S125" i="1"/>
  <c r="R125" i="1"/>
  <c r="P125" i="1"/>
  <c r="S124" i="1"/>
  <c r="R124" i="1"/>
  <c r="P124" i="1"/>
  <c r="S123" i="1"/>
  <c r="R123" i="1"/>
  <c r="P123" i="1"/>
  <c r="S122" i="1"/>
  <c r="R122" i="1"/>
  <c r="P122" i="1"/>
  <c r="S121" i="1"/>
  <c r="R121" i="1"/>
  <c r="P121" i="1"/>
  <c r="C121" i="1"/>
  <c r="S120" i="1"/>
  <c r="R120" i="1"/>
  <c r="P120" i="1"/>
  <c r="S119" i="1"/>
  <c r="R119" i="1"/>
  <c r="P119" i="1"/>
  <c r="C119" i="1"/>
  <c r="S118" i="1"/>
  <c r="R118" i="1"/>
  <c r="P118" i="1"/>
  <c r="S117" i="1"/>
  <c r="R117" i="1"/>
  <c r="P117" i="1"/>
  <c r="S116" i="1"/>
  <c r="R116" i="1"/>
  <c r="P116" i="1"/>
  <c r="S115" i="1"/>
  <c r="R115" i="1"/>
  <c r="P115" i="1"/>
  <c r="S114" i="1"/>
  <c r="R114" i="1"/>
  <c r="P114" i="1"/>
  <c r="C114" i="1"/>
  <c r="S113" i="1"/>
  <c r="R113" i="1"/>
  <c r="P113" i="1"/>
  <c r="S112" i="1"/>
  <c r="R112" i="1"/>
  <c r="P112" i="1"/>
  <c r="S111" i="1"/>
  <c r="R111" i="1"/>
  <c r="P111" i="1"/>
  <c r="S110" i="1"/>
  <c r="R110" i="1"/>
  <c r="P110" i="1"/>
  <c r="S109" i="1"/>
  <c r="R109" i="1"/>
  <c r="P109" i="1"/>
  <c r="S108" i="1"/>
  <c r="R108" i="1"/>
  <c r="P108" i="1"/>
  <c r="S107" i="1"/>
  <c r="R107" i="1"/>
  <c r="P107" i="1"/>
  <c r="S106" i="1"/>
  <c r="R106" i="1"/>
  <c r="P106" i="1"/>
  <c r="S105" i="1"/>
  <c r="R105" i="1"/>
  <c r="P105" i="1"/>
  <c r="S104" i="1"/>
  <c r="R104" i="1"/>
  <c r="P104" i="1"/>
  <c r="S103" i="1"/>
  <c r="R103" i="1"/>
  <c r="P103" i="1"/>
  <c r="S102" i="1"/>
  <c r="R102" i="1"/>
  <c r="P102" i="1"/>
  <c r="S101" i="1"/>
  <c r="R101" i="1"/>
  <c r="P101" i="1"/>
  <c r="S100" i="1"/>
  <c r="R100" i="1"/>
  <c r="P100" i="1"/>
  <c r="S99" i="1"/>
  <c r="R99" i="1"/>
  <c r="P99" i="1"/>
  <c r="C99" i="1"/>
  <c r="S98" i="1"/>
  <c r="R98" i="1"/>
  <c r="P98" i="1"/>
  <c r="S97" i="1"/>
  <c r="R97" i="1"/>
  <c r="P97" i="1"/>
  <c r="S96" i="1"/>
  <c r="R96" i="1"/>
  <c r="P96" i="1"/>
  <c r="S95" i="1"/>
  <c r="R95" i="1"/>
  <c r="P95" i="1"/>
  <c r="S94" i="1"/>
  <c r="R94" i="1"/>
  <c r="P94" i="1"/>
  <c r="C94" i="1"/>
  <c r="S93" i="1"/>
  <c r="R93" i="1"/>
  <c r="P93" i="1"/>
  <c r="S92" i="1"/>
  <c r="R92" i="1"/>
  <c r="P92" i="1"/>
  <c r="S91" i="1"/>
  <c r="R91" i="1"/>
  <c r="P91" i="1"/>
  <c r="S90" i="1"/>
  <c r="R90" i="1"/>
  <c r="P90" i="1"/>
  <c r="S89" i="1"/>
  <c r="R89" i="1"/>
  <c r="P89" i="1"/>
  <c r="C89" i="1"/>
  <c r="S88" i="1"/>
  <c r="R88" i="1"/>
  <c r="P88" i="1"/>
  <c r="S87" i="1"/>
  <c r="R87" i="1"/>
  <c r="P87" i="1"/>
  <c r="S86" i="1"/>
  <c r="R86" i="1"/>
  <c r="P86" i="1"/>
  <c r="S85" i="1"/>
  <c r="R85" i="1"/>
  <c r="P85" i="1"/>
  <c r="S84" i="1"/>
  <c r="R84" i="1"/>
  <c r="P84" i="1"/>
  <c r="C84" i="1"/>
  <c r="S83" i="1"/>
  <c r="R83" i="1"/>
  <c r="P83" i="1"/>
  <c r="S82" i="1"/>
  <c r="R82" i="1"/>
  <c r="P82" i="1"/>
  <c r="S81" i="1"/>
  <c r="R81" i="1"/>
  <c r="P81" i="1"/>
  <c r="S80" i="1"/>
  <c r="R80" i="1"/>
  <c r="P80" i="1"/>
  <c r="S79" i="1"/>
  <c r="R79" i="1"/>
  <c r="P79" i="1"/>
  <c r="C79" i="1"/>
  <c r="S78" i="1"/>
  <c r="R78" i="1"/>
  <c r="P78" i="1"/>
  <c r="S77" i="1"/>
  <c r="R77" i="1"/>
  <c r="P77" i="1"/>
  <c r="S76" i="1"/>
  <c r="R76" i="1"/>
  <c r="P76" i="1"/>
  <c r="S75" i="1"/>
  <c r="R75" i="1"/>
  <c r="P75" i="1"/>
  <c r="S74" i="1"/>
  <c r="R74" i="1"/>
  <c r="P74" i="1"/>
  <c r="S73" i="1"/>
  <c r="R73" i="1"/>
  <c r="P73" i="1"/>
  <c r="S72" i="1"/>
  <c r="R72" i="1"/>
  <c r="P72" i="1"/>
  <c r="S71" i="1"/>
  <c r="R71" i="1"/>
  <c r="P71" i="1"/>
  <c r="S70" i="1"/>
  <c r="R70" i="1"/>
  <c r="P70" i="1"/>
  <c r="S69" i="1"/>
  <c r="R69" i="1"/>
  <c r="P69" i="1"/>
  <c r="S68" i="1"/>
  <c r="R68" i="1"/>
  <c r="P68" i="1"/>
  <c r="S67" i="1"/>
  <c r="R67" i="1"/>
  <c r="P67" i="1"/>
  <c r="S66" i="1"/>
  <c r="R66" i="1"/>
  <c r="P66" i="1"/>
  <c r="S65" i="1"/>
  <c r="R65" i="1"/>
  <c r="P65" i="1"/>
  <c r="S64" i="1"/>
  <c r="R64" i="1"/>
  <c r="P64" i="1"/>
  <c r="S63" i="1"/>
  <c r="R63" i="1"/>
  <c r="P63" i="1"/>
  <c r="S62" i="1"/>
  <c r="R62" i="1"/>
  <c r="P62" i="1"/>
  <c r="S61" i="1"/>
  <c r="R61" i="1"/>
  <c r="P61" i="1"/>
  <c r="S60" i="1"/>
  <c r="R60" i="1"/>
  <c r="P60" i="1"/>
  <c r="S59" i="1"/>
  <c r="R59" i="1"/>
  <c r="P59" i="1"/>
  <c r="S58" i="1"/>
  <c r="R58" i="1"/>
  <c r="P58" i="1"/>
  <c r="S57" i="1"/>
  <c r="R57" i="1"/>
  <c r="P57" i="1"/>
  <c r="S56" i="1"/>
  <c r="R56" i="1"/>
  <c r="P56" i="1"/>
  <c r="S55" i="1"/>
  <c r="R55" i="1"/>
  <c r="P55" i="1"/>
  <c r="S54" i="1"/>
  <c r="R54" i="1"/>
  <c r="P54" i="1"/>
  <c r="S53" i="1"/>
  <c r="R53" i="1"/>
  <c r="P53" i="1"/>
  <c r="S52" i="1"/>
  <c r="R52" i="1"/>
  <c r="P52" i="1"/>
  <c r="S51" i="1"/>
  <c r="R51" i="1"/>
  <c r="P51" i="1"/>
  <c r="S50" i="1"/>
  <c r="R50" i="1"/>
  <c r="P50" i="1"/>
  <c r="S49" i="1"/>
  <c r="R49" i="1"/>
  <c r="P49" i="1"/>
  <c r="S48" i="1"/>
  <c r="R48" i="1"/>
  <c r="P48" i="1"/>
  <c r="S47" i="1"/>
  <c r="R47" i="1"/>
  <c r="P47" i="1"/>
  <c r="S46" i="1"/>
  <c r="R46" i="1"/>
  <c r="P46" i="1"/>
  <c r="S45" i="1"/>
  <c r="R45" i="1"/>
  <c r="P45" i="1"/>
  <c r="S44" i="1"/>
  <c r="R44" i="1"/>
  <c r="P44" i="1"/>
  <c r="S43" i="1"/>
  <c r="R43" i="1"/>
  <c r="P43" i="1"/>
  <c r="S42" i="1"/>
  <c r="R42" i="1"/>
  <c r="P42" i="1"/>
  <c r="S41" i="1"/>
  <c r="R41" i="1"/>
  <c r="P41" i="1"/>
  <c r="S40" i="1"/>
  <c r="R40" i="1"/>
  <c r="P40" i="1"/>
  <c r="S39" i="1"/>
  <c r="R39" i="1"/>
  <c r="P39" i="1"/>
  <c r="S38" i="1"/>
  <c r="R38" i="1"/>
  <c r="P38" i="1"/>
  <c r="S37" i="1"/>
  <c r="R37" i="1"/>
  <c r="P37" i="1"/>
  <c r="S36" i="1"/>
  <c r="R36" i="1"/>
  <c r="P36" i="1"/>
  <c r="S35" i="1"/>
  <c r="R35" i="1"/>
  <c r="P35" i="1"/>
  <c r="S34" i="1"/>
  <c r="R34" i="1"/>
  <c r="P34" i="1"/>
  <c r="S33" i="1"/>
  <c r="R33" i="1"/>
  <c r="P33" i="1"/>
  <c r="S32" i="1"/>
  <c r="R32" i="1"/>
  <c r="P32" i="1"/>
  <c r="S31" i="1"/>
  <c r="R31" i="1"/>
  <c r="P31" i="1"/>
  <c r="S30" i="1"/>
  <c r="R30" i="1"/>
  <c r="P30" i="1"/>
  <c r="S29" i="1"/>
  <c r="R29" i="1"/>
  <c r="P29" i="1"/>
  <c r="S28" i="1"/>
  <c r="R28" i="1"/>
  <c r="P28" i="1"/>
  <c r="S27" i="1"/>
  <c r="R27" i="1"/>
  <c r="P27" i="1"/>
  <c r="S26" i="1"/>
  <c r="R26" i="1"/>
  <c r="P26" i="1"/>
  <c r="S25" i="1"/>
  <c r="R25" i="1"/>
  <c r="P25" i="1"/>
  <c r="S24" i="1"/>
  <c r="R24" i="1"/>
  <c r="P24" i="1"/>
  <c r="S23" i="1"/>
  <c r="R23" i="1"/>
  <c r="P23" i="1"/>
  <c r="S22" i="1"/>
  <c r="R22" i="1"/>
  <c r="P22" i="1"/>
  <c r="S21" i="1"/>
  <c r="R21" i="1"/>
  <c r="P21" i="1"/>
  <c r="S20" i="1"/>
  <c r="R20" i="1"/>
  <c r="P20" i="1"/>
  <c r="S19" i="1"/>
  <c r="R19" i="1"/>
  <c r="P19" i="1"/>
  <c r="S18" i="1"/>
  <c r="R18" i="1"/>
  <c r="P18" i="1"/>
  <c r="S17" i="1"/>
  <c r="R17" i="1"/>
  <c r="P17" i="1"/>
  <c r="S16" i="1"/>
  <c r="R16" i="1"/>
  <c r="P16" i="1"/>
  <c r="S15" i="1"/>
  <c r="R15" i="1"/>
  <c r="P15" i="1"/>
  <c r="S14" i="1"/>
  <c r="R14" i="1"/>
  <c r="P14" i="1"/>
  <c r="S13" i="1"/>
  <c r="R13" i="1"/>
  <c r="P13" i="1"/>
  <c r="S12" i="1"/>
  <c r="R12" i="1"/>
  <c r="P12" i="1"/>
  <c r="S11" i="1"/>
  <c r="R11" i="1"/>
  <c r="P11" i="1"/>
  <c r="S10" i="1"/>
  <c r="R10" i="1"/>
  <c r="P10" i="1"/>
  <c r="S9" i="1"/>
  <c r="R9" i="1"/>
  <c r="P9" i="1"/>
  <c r="S8" i="1"/>
  <c r="R8" i="1"/>
  <c r="P8" i="1"/>
  <c r="S7" i="1"/>
  <c r="R7" i="1"/>
  <c r="P7" i="1"/>
  <c r="S6" i="1"/>
  <c r="R6" i="1"/>
  <c r="P6" i="1"/>
  <c r="S5" i="1"/>
  <c r="R5" i="1"/>
  <c r="P5" i="1"/>
  <c r="S4" i="1"/>
  <c r="R4" i="1"/>
  <c r="P4" i="1"/>
  <c r="S3" i="1"/>
  <c r="R3" i="1"/>
  <c r="P3" i="1"/>
  <c r="S2" i="1"/>
  <c r="R2" i="1"/>
  <c r="P2" i="1"/>
</calcChain>
</file>

<file path=xl/sharedStrings.xml><?xml version="1.0" encoding="utf-8"?>
<sst xmlns="http://schemas.openxmlformats.org/spreadsheetml/2006/main" count="634" uniqueCount="168">
  <si>
    <t>EAN</t>
  </si>
  <si>
    <t>FAMILIA</t>
  </si>
  <si>
    <t>APRESENTAÇÃO</t>
  </si>
  <si>
    <t>CLUSTER</t>
  </si>
  <si>
    <t>QTD MÍNIMA</t>
  </si>
  <si>
    <t>DESCONTO</t>
  </si>
  <si>
    <t>Preço Fábrica</t>
  </si>
  <si>
    <t>Desconto</t>
  </si>
  <si>
    <t>PMC</t>
  </si>
  <si>
    <t>Repasse (R$)</t>
  </si>
  <si>
    <t>Repasse (%)</t>
  </si>
  <si>
    <t>PMPF</t>
  </si>
  <si>
    <t>ST</t>
  </si>
  <si>
    <t>Preço Final</t>
  </si>
  <si>
    <t>CAMPANHA - FAIXA 1</t>
  </si>
  <si>
    <t>ENTEROGERMINA</t>
  </si>
  <si>
    <t>ENTEROGERMINA 2 BCFU/5 ML 10 FRASCOS IMP</t>
  </si>
  <si>
    <t>CAMPANHA - FAIXA 2</t>
  </si>
  <si>
    <t>ENTEROGERMINA 2 BCFU/5 ML X 20 FRASCOS</t>
  </si>
  <si>
    <t>ENTEROGERMINA 2BCFU/5ML SUSP BT5 M24 BR</t>
  </si>
  <si>
    <t>ENTEROGERMINA 4 BCFU/5 ML X 10 FRASCOS</t>
  </si>
  <si>
    <t>ENTEROGERMINA 4 BCFU/5 ML X 5 FRASCOS IM</t>
  </si>
  <si>
    <t>NOVALGINA</t>
  </si>
  <si>
    <t>NOVALGINA 1G 10 CPR</t>
  </si>
  <si>
    <t>NOVALGINA SOL ORAL 100ML C/ SERINGA</t>
  </si>
  <si>
    <t>ALLEGRA</t>
  </si>
  <si>
    <t>ALLEGRA  PEDIATRICO SUSP 60ML</t>
  </si>
  <si>
    <t>DEFAULT</t>
  </si>
  <si>
    <t>ALLEGRA 120MG 10 CPR</t>
  </si>
  <si>
    <t>ALLEGRA 120MG 2 CPR</t>
  </si>
  <si>
    <t>ALLEGRA 180MG 10 CPR</t>
  </si>
  <si>
    <t>ALLEGRA 60MG 10 CPR</t>
  </si>
  <si>
    <t>ALLEGRA D 10 CPR</t>
  </si>
  <si>
    <t>ALLEGRA PEDIATRICO 6MG/ML CUP 60ML</t>
  </si>
  <si>
    <t>ALLEGRA PEDIATRICO SUSP 150ML</t>
  </si>
  <si>
    <t>ANADOR</t>
  </si>
  <si>
    <t>ANADOR 1G 10 CPRS</t>
  </si>
  <si>
    <t>ANADOR 500MG 24 CPR - SUZ</t>
  </si>
  <si>
    <t>ANADOR 500MG 512 CPR</t>
  </si>
  <si>
    <t>ANADOR GOTAS 20ML</t>
  </si>
  <si>
    <t>BISOLVON</t>
  </si>
  <si>
    <t>BISOLVON 2MG/ML SOL EXPEC 40ML</t>
  </si>
  <si>
    <t>BISOLVON XAROPE PED 4MG/5ML 120 ML</t>
  </si>
  <si>
    <t>BISOLVON XPE 8MG/5ML 120ML - SUZ</t>
  </si>
  <si>
    <t>TARGIFOR</t>
  </si>
  <si>
    <t>CEWIN 500MG 3X10 CPR FOOD</t>
  </si>
  <si>
    <t>CEWIN GTS 20ML FOOD</t>
  </si>
  <si>
    <t>CEWIN LAR EF 1G CPR 5X2 FOOD</t>
  </si>
  <si>
    <t>FENERGAN</t>
  </si>
  <si>
    <t>CREMEFENERGAN 30 G</t>
  </si>
  <si>
    <t>DEPURA</t>
  </si>
  <si>
    <t>DEPURA 500 UI/GOTA 10 ML</t>
  </si>
  <si>
    <t>DORFLEX</t>
  </si>
  <si>
    <t>DORFLEX 300 CPRS</t>
  </si>
  <si>
    <t>DORFLEX GOTAS 20 ML</t>
  </si>
  <si>
    <t>DORFLEX MAX 80 CPRS</t>
  </si>
  <si>
    <t>DORFLEX UNO 1G 20 CPR</t>
  </si>
  <si>
    <t>DULCOLAX</t>
  </si>
  <si>
    <t>DULCOLAX 5MG 20 DRG</t>
  </si>
  <si>
    <t>DULCOLAX GOTAS 75MG/ML 30 ML</t>
  </si>
  <si>
    <t>GUTTALAX</t>
  </si>
  <si>
    <t>GUTTALAX GOTAS 75MG/ML 30 ML</t>
  </si>
  <si>
    <t>MOBILITY</t>
  </si>
  <si>
    <t>MOBILITY 10G 30 STICK</t>
  </si>
  <si>
    <t>MOBILITY OSCAL D 500MG  400UI C/ 60</t>
  </si>
  <si>
    <t>MOBILITY OSCAL D 500MG 1000UI 60 CPR</t>
  </si>
  <si>
    <t>MUCOSOLVAN</t>
  </si>
  <si>
    <t>MUCOSOLVAN XAROPE AD 30MG/5ML 120 ML-SUZ</t>
  </si>
  <si>
    <t>MUCOSOLVAN XAROPE PED 15MG/5ML 12 - SUZ</t>
  </si>
  <si>
    <t>NOVALGINA 1G 10 CPR EFERV</t>
  </si>
  <si>
    <t>NOVALGINA 1G 100 CPR</t>
  </si>
  <si>
    <t>NOVALGINA 1G 100 CPR EFERV DISPLAY</t>
  </si>
  <si>
    <t>NOVALGINA 300MG SUP BL5 M36 BR</t>
  </si>
  <si>
    <t>NOVALGINA 500MG 240 CPR</t>
  </si>
  <si>
    <t>NOVALGINA 500MG 30 CPR</t>
  </si>
  <si>
    <t>NOVALGINA GOTAS 10ML FCO VIDRO</t>
  </si>
  <si>
    <t>PHARMATON BELEZA E ENERGIA 60 CAPS</t>
  </si>
  <si>
    <t>TARGIFOR C 1-1G EF 1X16 FS</t>
  </si>
  <si>
    <t>TARGIFOR PHARMATON IMUNIDADE A-Z 60 CPR</t>
  </si>
  <si>
    <t>TARGIFOR TE AJUDA STRESS 30 CAP</t>
  </si>
  <si>
    <t>TARGIFOR TE AJUDA TPM 15 CAP</t>
  </si>
  <si>
    <t>TARGIFOR TE ENERGIZA 500MG 30 CPR</t>
  </si>
  <si>
    <t>ANADOR 500MG 240 CPR - SUZ</t>
  </si>
  <si>
    <t>COLIRIO</t>
  </si>
  <si>
    <t>COLIRIO MOURA BRASIL 20ML</t>
  </si>
  <si>
    <t>DORFLEX 24 CPR</t>
  </si>
  <si>
    <t>DORFLEX 36 CPR</t>
  </si>
  <si>
    <t>DORFLEX DIP 1G CPR 1X10</t>
  </si>
  <si>
    <t>DORFLEX MAX 16 CPRS</t>
  </si>
  <si>
    <t>DORFLEX MAX 8 CPRS</t>
  </si>
  <si>
    <t>DORFLEX UNO 1G 10 CPR.</t>
  </si>
  <si>
    <t>FENERGAN 25MG 20 COMPR.</t>
  </si>
  <si>
    <t>MOBILITY OSCAL 500MG COMP REV C/ 60</t>
  </si>
  <si>
    <t>NOVALGINA 1G 20 CPR</t>
  </si>
  <si>
    <t>NOVALGINA CUP XAROPE 100ML 50MG/ML</t>
  </si>
  <si>
    <t>NOVALGINA GOTAS 20ML FCO VIDRO</t>
  </si>
  <si>
    <t>TARGIFOR PHARMATON IMUNIDADE A-Z 30 CPR</t>
  </si>
  <si>
    <t>TARGIFOR TE ENERGIZA 500MG 60 CPR</t>
  </si>
  <si>
    <t>DEFAULT-FAIXA 1</t>
  </si>
  <si>
    <t>DEFAULT-FAIXA 2</t>
  </si>
  <si>
    <t>Soma de QTD MÍNIMA</t>
  </si>
  <si>
    <t>Soma de DESCONTO</t>
  </si>
  <si>
    <t>Soma de Preço Final</t>
  </si>
  <si>
    <t>Valores</t>
  </si>
  <si>
    <t xml:space="preserve">cód </t>
  </si>
  <si>
    <t xml:space="preserve">Descrição </t>
  </si>
  <si>
    <t>Default %</t>
  </si>
  <si>
    <t>Default R$</t>
  </si>
  <si>
    <t>Default Faixa 1 %</t>
  </si>
  <si>
    <t>Faixa-2 $</t>
  </si>
  <si>
    <t>Faixa-1 $</t>
  </si>
  <si>
    <t>Faixa-1 Mínimo</t>
  </si>
  <si>
    <t>Faixa-2 Mínimo</t>
  </si>
  <si>
    <t xml:space="preserve">Cód </t>
  </si>
  <si>
    <t>Default Faixa 2 %</t>
  </si>
  <si>
    <t>Allegra 120Mg 10 Cpr</t>
  </si>
  <si>
    <t>Allegra 120Mg C 2 Comp</t>
  </si>
  <si>
    <t>Allegra 180Mg 10 Cpr</t>
  </si>
  <si>
    <t>Allegra 60Mg 10 Cpr</t>
  </si>
  <si>
    <t>Allegra D 10 Cpr</t>
  </si>
  <si>
    <t>Allegra Pediatrico 6Mg/Ml Cup 60Ml</t>
  </si>
  <si>
    <t>Allegra Pediatrico Susp 150Ml</t>
  </si>
  <si>
    <t>Anador 1G 10 Cprs</t>
  </si>
  <si>
    <t>Anador 500Mg 24 Cpr - Suz</t>
  </si>
  <si>
    <t>Anador 500Mg C 4</t>
  </si>
  <si>
    <t>Anador 500Mg 240 Cpr - Suz</t>
  </si>
  <si>
    <t>Anador Gotas 20Ml</t>
  </si>
  <si>
    <t>Bisolvon Xarope Ped 4Mg/5Ml 120 Ml</t>
  </si>
  <si>
    <t>Bisolvon Xpe 8Mg/5Ml 120Ml - Suz</t>
  </si>
  <si>
    <t>Cewin 500Mg 3X10 Cpr Food</t>
  </si>
  <si>
    <t>Cewin Gts 20Ml Food</t>
  </si>
  <si>
    <t>Colirio Moura Brasil 20Ml</t>
  </si>
  <si>
    <t>Depura 500 Ui/Gota 10 Ml</t>
  </si>
  <si>
    <t>Dorflex 24 Cpr</t>
  </si>
  <si>
    <t>Dorflex 300 Cprs</t>
  </si>
  <si>
    <t>Dorflex 36 Cpr</t>
  </si>
  <si>
    <t>Dorflex Dip 1G Cpr 1X10</t>
  </si>
  <si>
    <t>Dorflex Gotas 20 Ml</t>
  </si>
  <si>
    <t>Dorflex Max 16 Cprs</t>
  </si>
  <si>
    <t>Dorflex Max 8 Cprs</t>
  </si>
  <si>
    <t>Dorflex Max 80 Cprs</t>
  </si>
  <si>
    <t>Dorflex Uno 1G 10 Cpr.</t>
  </si>
  <si>
    <t>Dorflex Uno 1G 20 Cpr</t>
  </si>
  <si>
    <t>Dulcolax 5Mg 20 Drg</t>
  </si>
  <si>
    <t>Dulcolax Gotas 75Mg/Ml 30 Ml</t>
  </si>
  <si>
    <t>Enterogermina 2 Bcfu/5 Ml 10 Frascos Imp</t>
  </si>
  <si>
    <t>Enterogermina 2 Bcfu/5 Ml X 20 Frascos</t>
  </si>
  <si>
    <t>Enterogermina 2Bcfu/5Ml Susp Bt5 M24 Br</t>
  </si>
  <si>
    <t>Enterogermina 4 Bcfu/5 Ml X 10 Frascos</t>
  </si>
  <si>
    <t>Enterogermina 4 Bcfu/5 Ml X 5 Frascos Im</t>
  </si>
  <si>
    <t>Fenergan 25Mg 20 Compr.</t>
  </si>
  <si>
    <t>Guttalax Gotas 75Mg/Ml 30 Ml</t>
  </si>
  <si>
    <t>Mobility Oscal 500Mg Comp Rev C/ 60</t>
  </si>
  <si>
    <t>Mobility Oscal D 500Mg  400Ui C/ 60</t>
  </si>
  <si>
    <t>Mobility Oscal D 500Mg 1000Ui 60 Cpr</t>
  </si>
  <si>
    <t>Mucosolvan Xarope Ad 30Mg/5Ml 120 Ml-Suz</t>
  </si>
  <si>
    <t>Novalgina 1G 10 Cpr</t>
  </si>
  <si>
    <t>Novalgina 1G 100 Cpr Eferv Display</t>
  </si>
  <si>
    <t>Novalgina 1G 20 Cpr</t>
  </si>
  <si>
    <t>Novalgina 300Mg Sup Bl5 M36 Br</t>
  </si>
  <si>
    <t>Novalgina 500Mg 240 Cpr</t>
  </si>
  <si>
    <t>Novalgina 500Mg 30 Cpr</t>
  </si>
  <si>
    <t>Novalgina Gotas 20Ml Fco Vidro</t>
  </si>
  <si>
    <t>Novalgina Sol Oral 100Ml C/ Seringa</t>
  </si>
  <si>
    <t>Targifor C 1-1G Ef 1X16 Fs</t>
  </si>
  <si>
    <t>Targifor Pharmaton Imunidade A-Z 30 Cpr</t>
  </si>
  <si>
    <t>Targifor Te Energiza 500Mg 30 Cpr</t>
  </si>
  <si>
    <t>Preço Fabr.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</si>
</sst>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1" fontId="0" fillId="0" borderId="0" xfId="0" applyNumberFormat="1"/>
    <xf numFmtId="10" fontId="0" fillId="0" borderId="0" xfId="0" applyNumberFormat="1"/>
    <xf numFmtId="0" fontId="2" fillId="0" borderId="0" xfId="0" applyFont="1"/>
    <xf numFmtId="1" fontId="0" fillId="2" borderId="0" xfId="0" applyNumberFormat="1" applyFill="1"/>
    <xf numFmtId="0" fontId="0" fillId="2" borderId="0" xfId="0" applyFill="1"/>
    <xf numFmtId="9" fontId="0" fillId="0" borderId="0" xfId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pivotButton="1"/>
    <xf numFmtId="9" fontId="0" fillId="0" borderId="0" xfId="0" applyNumberFormat="1"/>
    <xf numFmtId="2" fontId="0" fillId="0" borderId="0" xfId="0" applyNumberFormat="1"/>
    <xf numFmtId="2" fontId="0" fillId="0" borderId="0" xfId="1" applyNumberFormat="1" applyFont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3" fillId="4" borderId="3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0" fillId="0" borderId="2" xfId="2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2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hur Esteves Porfirio" refreshedDate="46078.461949305558" createdVersion="8" refreshedVersion="8" minRefreshableVersion="3" recordCount="159" xr:uid="{3A6EC549-6F09-452C-BD4C-3276B333E752}">
  <cacheSource type="worksheet">
    <worksheetSource ref="A1:O160" sheet="Planilha1"/>
  </cacheSource>
  <cacheFields count="15">
    <cacheField name="EAN" numFmtId="1">
      <sharedItems containsSemiMixedTypes="0" containsString="0" containsNumber="1" containsInteger="1" minValue="7891058000103" maxValue="7896070600447" count="67">
        <n v="7891058004347"/>
        <n v="7891058168049"/>
        <n v="7891058002596"/>
        <n v="7891058169015"/>
        <n v="7891058024314"/>
        <n v="7891058006716"/>
        <n v="7891058002589"/>
        <n v="7891058004354"/>
        <n v="7891058003890"/>
        <n v="7891058021597"/>
        <n v="7891058021665"/>
        <n v="7891058021603"/>
        <n v="7891058021580"/>
        <n v="7891058001810"/>
        <n v="7891058021627"/>
        <n v="7891058021610"/>
        <n v="7891058000295"/>
        <n v="7891058001643"/>
        <n v="7891058001520"/>
        <n v="7891058020316"/>
        <n v="7896070600249"/>
        <n v="7891058018627"/>
        <n v="7891058022136"/>
        <n v="7891058017392"/>
        <n v="7891058017507"/>
        <n v="7891058005474"/>
        <n v="7891058009458"/>
        <n v="7891058003975"/>
        <n v="7891058003944"/>
        <n v="7891058003937"/>
        <n v="7891058022815"/>
        <n v="7891058000103"/>
        <n v="7891058021528"/>
        <n v="7891058001032"/>
        <n v="7891058016999"/>
        <n v="7891058017002"/>
        <n v="7891058006501"/>
        <n v="7891058022594"/>
        <n v="7891058020286"/>
        <n v="7896070600447"/>
        <n v="7891058021689"/>
        <n v="7891058003968"/>
        <n v="7891058002343"/>
        <n v="7891058002336"/>
        <n v="7891058022730"/>
        <n v="7891058021566"/>
        <n v="7891058021573"/>
        <n v="7891058001155"/>
        <n v="7891058015756"/>
        <n v="7891058011222"/>
        <n v="7891058015770"/>
        <n v="7891058002565"/>
        <n v="7891058467098"/>
        <n v="7891058008642"/>
        <n v="7891058008635"/>
        <n v="7891058005566"/>
        <n v="7891058000172"/>
        <n v="7891058000165"/>
        <n v="7891058464073"/>
        <n v="7891058022686"/>
        <n v="7891058005467"/>
        <n v="7891058021726"/>
        <n v="7891058021702"/>
        <n v="7891058006525"/>
        <n v="7891058006518"/>
        <n v="7891058005870"/>
        <n v="7891058005887"/>
      </sharedItems>
    </cacheField>
    <cacheField name="cód " numFmtId="1">
      <sharedItems containsSemiMixedTypes="0" containsString="0" containsNumber="1" containsInteger="1" minValue="0" maxValue="61328" count="53">
        <n v="56314"/>
        <n v="6325"/>
        <n v="56332"/>
        <n v="6326"/>
        <n v="6327"/>
        <n v="6825"/>
        <n v="30730"/>
        <n v="56315"/>
        <n v="61328"/>
        <n v="21487"/>
        <n v="0"/>
        <n v="5796"/>
        <n v="6842"/>
        <n v="6843"/>
        <n v="1362"/>
        <n v="1349"/>
        <n v="3045"/>
        <n v="40550"/>
        <n v="47086"/>
        <n v="41533"/>
        <n v="41802"/>
        <n v="56662"/>
        <n v="7536"/>
        <n v="57351"/>
        <n v="57353"/>
        <n v="57352"/>
        <n v="47552"/>
        <n v="51973"/>
        <n v="197"/>
        <n v="55277"/>
        <n v="36381"/>
        <n v="46785"/>
        <n v="61315"/>
        <n v="55156"/>
        <n v="41036"/>
        <n v="373"/>
        <n v="43102"/>
        <n v="6647"/>
        <n v="56395"/>
        <n v="48764"/>
        <n v="1958"/>
        <n v="20513"/>
        <n v="36957"/>
        <n v="36958"/>
        <n v="54625"/>
        <n v="1524"/>
        <n v="3140"/>
        <n v="10671"/>
        <n v="1529"/>
        <n v="1525"/>
        <n v="1850"/>
        <n v="5346"/>
        <n v="33463"/>
      </sharedItems>
    </cacheField>
    <cacheField name="FAMILIA" numFmtId="0">
      <sharedItems containsMixedTypes="1" containsNumber="1" containsInteger="1" minValue="0" maxValue="61315"/>
    </cacheField>
    <cacheField name="APRESENTAÇÃO" numFmtId="0">
      <sharedItems containsMixedTypes="1" containsNumber="1" containsInteger="1" minValue="0" maxValue="61315" count="78">
        <s v="ALLEGRA  PEDIATRICO SUSP 60ML"/>
        <s v="ALLEGRA 120MG 10 CPR"/>
        <s v="ALLEGRA 120MG 2 CPR"/>
        <s v="ALLEGRA 180MG 10 CPR"/>
        <s v="ALLEGRA 60MG 10 CPR"/>
        <s v="ALLEGRA D 10 CPR"/>
        <s v="ALLEGRA PEDIATRICO 6MG/ML CUP 60ML"/>
        <s v="ALLEGRA PEDIATRICO SUSP 150ML"/>
        <s v="ANADOR 1G 10 CPRS"/>
        <s v="ANADOR 500MG 24 CPR - SUZ"/>
        <s v="ANADOR 500MG 240 CPR - SUZ"/>
        <s v="ANADOR 500MG 512 CPR"/>
        <s v="ANADOR GOTAS 20ML"/>
        <s v="BISOLVON 2MG/ML SOL EXPEC 40ML"/>
        <s v="BISOLVON XAROPE PED 4MG/5ML 120 ML"/>
        <s v="BISOLVON XPE 8MG/5ML 120ML - SUZ"/>
        <s v="CEWIN 500MG 3X10 CPR FOOD"/>
        <s v="CEWIN GTS 20ML FOOD"/>
        <s v="CEWIN LAR EF 1G CPR 5X2 FOOD"/>
        <s v="COLIRIO MOURA BRASIL 20ML"/>
        <s v="CREMEFENERGAN 30 G"/>
        <s v="DEPURA 500 UI/GOTA 10 ML"/>
        <s v="DORFLEX 24 CPR"/>
        <s v="DORFLEX 300 CPRS"/>
        <s v="DORFLEX 36 CPR"/>
        <s v="DORFLEX DIP 1G CPR 1X10"/>
        <s v="DORFLEX GOTAS 20 ML"/>
        <s v="DORFLEX MAX 16 CPRS"/>
        <s v="DORFLEX MAX 8 CPRS"/>
        <s v="DORFLEX MAX 80 CPRS"/>
        <s v="DORFLEX UNO 1G 10 CPR."/>
        <s v="DORFLEX UNO 1G 20 CPR"/>
        <s v="DULCOLAX 5MG 20 DRG"/>
        <s v="DULCOLAX GOTAS 75MG/ML 30 ML"/>
        <s v="ENTEROGERMINA 2 BCFU/5 ML 10 FRASCOS IMP"/>
        <s v="ENTEROGERMINA 2 BCFU/5 ML X 20 FRASCOS"/>
        <s v="ENTEROGERMINA 2BCFU/5ML SUSP BT5 M24 BR"/>
        <s v="ENTEROGERMINA 4 BCFU/5 ML X 10 FRASCOS"/>
        <s v="ENTEROGERMINA 4 BCFU/5 ML X 5 FRASCOS IM"/>
        <s v="FENERGAN 25MG 20 COMPR."/>
        <s v="GUTTALAX GOTAS 75MG/ML 30 ML"/>
        <s v="MOBILITY 10G 30 STICK"/>
        <s v="MOBILITY OSCAL 500MG COMP REV C/ 60"/>
        <s v="MOBILITY OSCAL D 500MG  400UI C/ 60"/>
        <s v="MOBILITY OSCAL D 500MG 1000UI 60 CPR"/>
        <s v="MUCOSOLVAN XAROPE AD 30MG/5ML 120 ML-SUZ"/>
        <s v="MUCOSOLVAN XAROPE PED 15MG/5ML 12 - SUZ"/>
        <s v="NOVALGINA 1G 10 CPR"/>
        <s v="NOVALGINA 1G 10 CPR EFERV"/>
        <s v="NOVALGINA 1G 100 CPR"/>
        <s v="NOVALGINA 1G 100 CPR EFERV DISPLAY"/>
        <s v="NOVALGINA 1G 20 CPR"/>
        <s v="NOVALGINA 300MG SUP BL5 M36 BR"/>
        <s v="NOVALGINA 500MG 240 CPR"/>
        <s v="NOVALGINA 500MG 30 CPR"/>
        <s v="NOVALGINA CUP XAROPE 100ML 50MG/ML"/>
        <s v="NOVALGINA GOTAS 10ML FCO VIDRO"/>
        <s v="NOVALGINA GOTAS 20ML FCO VIDRO"/>
        <s v="NOVALGINA SOL ORAL 100ML C/ SERINGA"/>
        <s v="PHARMATON BELEZA E ENERGIA 60 CAPS"/>
        <s v="TARGIFOR C 1-1G EF 1X16 FS"/>
        <s v="TARGIFOR PHARMATON IMUNIDADE A-Z 30 CPR"/>
        <s v="TARGIFOR PHARMATON IMUNIDADE A-Z 60 CPR"/>
        <s v="TARGIFOR TE AJUDA STRESS 30 CAP"/>
        <s v="TARGIFOR TE AJUDA TPM 15 CAP"/>
        <s v="TARGIFOR TE ENERGIZA 500MG 30 CPR"/>
        <s v="TARGIFOR TE ENERGIZA 500MG 60 CPR"/>
        <n v="3045" u="1"/>
        <n v="36381" u="1"/>
        <n v="46785" u="1"/>
        <n v="61315" u="1"/>
        <n v="55156" u="1"/>
        <n v="41036" u="1"/>
        <n v="20513" u="1"/>
        <n v="36957" u="1"/>
        <n v="0" u="1"/>
        <n v="1529" u="1"/>
        <n v="1525" u="1"/>
      </sharedItems>
    </cacheField>
    <cacheField name="CLUSTER" numFmtId="0">
      <sharedItems count="5">
        <s v="DEFAULT"/>
        <s v="DEFAULT-FAIXA 1"/>
        <s v="DEFAULT-FAIXA 2"/>
        <s v="CAMPANHA - FAIXA 1"/>
        <s v="CAMPANHA - FAIXA 2"/>
      </sharedItems>
    </cacheField>
    <cacheField name="QTD MÍNIMA" numFmtId="0">
      <sharedItems containsSemiMixedTypes="0" containsString="0" containsNumber="1" containsInteger="1" minValue="1" maxValue="120"/>
    </cacheField>
    <cacheField name="DESCONTO" numFmtId="9">
      <sharedItems containsSemiMixedTypes="0" containsString="0" containsNumber="1" minValue="7.0000000000000007E-2" maxValue="0.45" count="21">
        <n v="0.08"/>
        <n v="0.1"/>
        <n v="0.12"/>
        <n v="7.0000000000000007E-2"/>
        <n v="0.09"/>
        <n v="0.11"/>
        <n v="0.17"/>
        <n v="0.35"/>
        <n v="0.45"/>
        <n v="0.21"/>
        <n v="0.18"/>
        <n v="0.15"/>
        <n v="0.13"/>
        <n v="0.3"/>
        <n v="0.16"/>
        <n v="0.26"/>
        <n v="0.28000000000000003"/>
        <n v="0.19"/>
        <n v="0.23"/>
        <n v="0.19500000000000001"/>
        <n v="0.2"/>
      </sharedItems>
    </cacheField>
    <cacheField name="Preço Fábrica" numFmtId="164">
      <sharedItems containsSemiMixedTypes="0" containsString="0" containsNumber="1" minValue="12.92" maxValue="321.52999999999997"/>
    </cacheField>
    <cacheField name="Desconto2" numFmtId="164">
      <sharedItems containsSemiMixedTypes="0" containsString="0" containsNumber="1" minValue="7.0000000000000007E-2" maxValue="0.45"/>
    </cacheField>
    <cacheField name="PMC" numFmtId="164">
      <sharedItems containsSemiMixedTypes="0" containsString="0" containsNumber="1" minValue="0" maxValue="431.32"/>
    </cacheField>
    <cacheField name="Repasse (R$)" numFmtId="164">
      <sharedItems containsSemiMixedTypes="0" containsString="0" containsNumber="1" minValue="0" maxValue="24.928667999999998"/>
    </cacheField>
    <cacheField name="Repasse (%)" numFmtId="164">
      <sharedItems containsSemiMixedTypes="0" containsString="0" containsNumber="1" minValue="0" maxValue="8.5199999999999998E-2"/>
    </cacheField>
    <cacheField name="PMPF" numFmtId="164">
      <sharedItems containsSemiMixedTypes="0" containsString="0" containsNumber="1" minValue="0" maxValue="380.16"/>
    </cacheField>
    <cacheField name="ST" numFmtId="164">
      <sharedItems containsSemiMixedTypes="0" containsString="0" containsNumber="1" minValue="0" maxValue="42.01"/>
    </cacheField>
    <cacheField name="Preço Final" numFmtId="164">
      <sharedItems containsSemiMixedTypes="0" containsString="0" containsNumber="1" minValue="8.2897440000000007" maxValue="309.671332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x v="0"/>
    <s v="ALLEGRA"/>
    <x v="0"/>
    <x v="0"/>
    <n v="1"/>
    <x v="0"/>
    <n v="30.45"/>
    <n v="0.08"/>
    <n v="40.85"/>
    <n v="2.3864519999999998"/>
    <n v="8.5199999999999998E-2"/>
    <n v="35.74"/>
    <n v="3.9"/>
    <n v="29.523548000000002"/>
  </r>
  <r>
    <x v="0"/>
    <x v="0"/>
    <s v="ALLEGRA"/>
    <x v="0"/>
    <x v="1"/>
    <n v="3"/>
    <x v="1"/>
    <n v="30.45"/>
    <n v="0.1"/>
    <n v="40.85"/>
    <n v="2.3353320000000002"/>
    <n v="8.5199999999999998E-2"/>
    <n v="35.74"/>
    <n v="3.96"/>
    <n v="29.034668"/>
  </r>
  <r>
    <x v="0"/>
    <x v="0"/>
    <s v="ALLEGRA"/>
    <x v="0"/>
    <x v="2"/>
    <n v="6"/>
    <x v="2"/>
    <n v="30.45"/>
    <n v="0.12"/>
    <n v="40.85"/>
    <n v="2.2833600000000001"/>
    <n v="8.5199999999999998E-2"/>
    <n v="35.74"/>
    <n v="4.03"/>
    <n v="28.54664"/>
  </r>
  <r>
    <x v="1"/>
    <x v="1"/>
    <s v="ALLEGRA"/>
    <x v="1"/>
    <x v="0"/>
    <n v="1"/>
    <x v="3"/>
    <n v="45.48"/>
    <n v="7.0000000000000007E-2"/>
    <n v="61.01"/>
    <n v="3.6039599999999998"/>
    <n v="8.5199999999999998E-2"/>
    <n v="63.7"/>
    <n v="7.78"/>
    <n v="46.476039999999998"/>
  </r>
  <r>
    <x v="1"/>
    <x v="1"/>
    <s v="ALLEGRA"/>
    <x v="1"/>
    <x v="1"/>
    <n v="2"/>
    <x v="4"/>
    <n v="45.48"/>
    <n v="0.09"/>
    <n v="61.01"/>
    <n v="3.5264280000000001"/>
    <n v="8.5199999999999998E-2"/>
    <n v="63.7"/>
    <n v="7.88"/>
    <n v="45.743572"/>
  </r>
  <r>
    <x v="1"/>
    <x v="1"/>
    <s v="ALLEGRA"/>
    <x v="1"/>
    <x v="2"/>
    <n v="3"/>
    <x v="5"/>
    <n v="45.48"/>
    <n v="0.11"/>
    <n v="61.01"/>
    <n v="3.448896"/>
    <n v="8.5199999999999998E-2"/>
    <n v="63.7"/>
    <n v="7.98"/>
    <n v="45.011104000000003"/>
  </r>
  <r>
    <x v="2"/>
    <x v="2"/>
    <s v="ALLEGRA"/>
    <x v="2"/>
    <x v="0"/>
    <n v="1"/>
    <x v="1"/>
    <n v="14.47"/>
    <n v="0.1"/>
    <n v="19.41"/>
    <n v="1.1093040000000001"/>
    <n v="8.5199999999999998E-2"/>
    <n v="19.23"/>
    <n v="2.3199999999999998"/>
    <n v="14.230696"/>
  </r>
  <r>
    <x v="3"/>
    <x v="3"/>
    <s v="ALLEGRA"/>
    <x v="3"/>
    <x v="0"/>
    <n v="1"/>
    <x v="1"/>
    <n v="68.27"/>
    <n v="0.1"/>
    <n v="91.58"/>
    <n v="5.2346880000000002"/>
    <n v="8.5199999999999998E-2"/>
    <n v="96.34"/>
    <n v="12.04"/>
    <n v="68.245311999999998"/>
  </r>
  <r>
    <x v="4"/>
    <x v="4"/>
    <s v="ALLEGRA"/>
    <x v="4"/>
    <x v="0"/>
    <n v="1"/>
    <x v="3"/>
    <n v="22.71"/>
    <n v="7.0000000000000007E-2"/>
    <n v="30.46"/>
    <n v="1.7994239999999999"/>
    <n v="8.5199999999999998E-2"/>
    <n v="42.22"/>
    <n v="5.91"/>
    <n v="25.230575999999999"/>
  </r>
  <r>
    <x v="4"/>
    <x v="4"/>
    <s v="ALLEGRA"/>
    <x v="4"/>
    <x v="1"/>
    <n v="2"/>
    <x v="4"/>
    <n v="22.71"/>
    <n v="0.09"/>
    <n v="30.46"/>
    <n v="1.7610840000000001"/>
    <n v="8.5199999999999998E-2"/>
    <n v="42.22"/>
    <n v="5.96"/>
    <n v="24.868915999999999"/>
  </r>
  <r>
    <x v="4"/>
    <x v="4"/>
    <s v="ALLEGRA"/>
    <x v="4"/>
    <x v="2"/>
    <n v="3"/>
    <x v="5"/>
    <n v="22.71"/>
    <n v="0.11"/>
    <n v="30.46"/>
    <n v="1.721892"/>
    <n v="8.5199999999999998E-2"/>
    <n v="42.22"/>
    <n v="6.01"/>
    <n v="24.498107999999998"/>
  </r>
  <r>
    <x v="5"/>
    <x v="5"/>
    <s v="ALLEGRA"/>
    <x v="5"/>
    <x v="0"/>
    <n v="1"/>
    <x v="3"/>
    <n v="55.39"/>
    <n v="7.0000000000000007E-2"/>
    <n v="74.3"/>
    <n v="4.3886520000000004"/>
    <n v="8.5199999999999998E-2"/>
    <n v="63.94"/>
    <n v="6.82"/>
    <n v="53.941347999999998"/>
  </r>
  <r>
    <x v="5"/>
    <x v="5"/>
    <s v="ALLEGRA"/>
    <x v="5"/>
    <x v="1"/>
    <n v="2"/>
    <x v="4"/>
    <n v="55.39"/>
    <n v="0.09"/>
    <n v="74.3"/>
    <n v="4.2940800000000001"/>
    <n v="8.5199999999999998E-2"/>
    <n v="63.94"/>
    <n v="6.94"/>
    <n v="53.045920000000002"/>
  </r>
  <r>
    <x v="5"/>
    <x v="5"/>
    <s v="ALLEGRA"/>
    <x v="5"/>
    <x v="2"/>
    <n v="3"/>
    <x v="5"/>
    <n v="55.39"/>
    <n v="0.11"/>
    <n v="74.3"/>
    <n v="4.2003599999999999"/>
    <n v="8.5199999999999998E-2"/>
    <n v="63.94"/>
    <n v="7.06"/>
    <n v="52.159640000000003"/>
  </r>
  <r>
    <x v="6"/>
    <x v="6"/>
    <s v="ALLEGRA"/>
    <x v="6"/>
    <x v="0"/>
    <n v="1"/>
    <x v="3"/>
    <n v="30.45"/>
    <n v="7.0000000000000007E-2"/>
    <n v="40.85"/>
    <n v="2.4128639999999999"/>
    <n v="8.5199999999999998E-2"/>
    <n v="36.880000000000003"/>
    <n v="4.08"/>
    <n v="29.987136"/>
  </r>
  <r>
    <x v="6"/>
    <x v="6"/>
    <s v="ALLEGRA"/>
    <x v="6"/>
    <x v="1"/>
    <n v="3"/>
    <x v="4"/>
    <n v="30.45"/>
    <n v="0.09"/>
    <n v="40.85"/>
    <n v="2.3608920000000002"/>
    <n v="8.5199999999999998E-2"/>
    <n v="36.880000000000003"/>
    <n v="4.1500000000000004"/>
    <n v="29.499108"/>
  </r>
  <r>
    <x v="6"/>
    <x v="6"/>
    <s v="ALLEGRA"/>
    <x v="6"/>
    <x v="2"/>
    <n v="6"/>
    <x v="5"/>
    <n v="30.45"/>
    <n v="0.11"/>
    <n v="40.85"/>
    <n v="2.3089200000000001"/>
    <n v="8.5199999999999998E-2"/>
    <n v="36.880000000000003"/>
    <n v="4.22"/>
    <n v="29.01108"/>
  </r>
  <r>
    <x v="7"/>
    <x v="7"/>
    <s v="ALLEGRA"/>
    <x v="7"/>
    <x v="0"/>
    <n v="1"/>
    <x v="0"/>
    <n v="69.13"/>
    <n v="0.08"/>
    <n v="92.74"/>
    <n v="5.4187200000000004"/>
    <n v="8.5199999999999998E-2"/>
    <n v="80.489999999999995"/>
    <n v="8.7200000000000006"/>
    <n v="66.90128"/>
  </r>
  <r>
    <x v="7"/>
    <x v="7"/>
    <s v="ALLEGRA"/>
    <x v="7"/>
    <x v="1"/>
    <n v="3"/>
    <x v="1"/>
    <n v="69.13"/>
    <n v="0.1"/>
    <n v="92.74"/>
    <n v="5.3011439999999999"/>
    <n v="8.5199999999999998E-2"/>
    <n v="80.489999999999995"/>
    <n v="8.8699999999999992"/>
    <n v="65.788855999999996"/>
  </r>
  <r>
    <x v="7"/>
    <x v="7"/>
    <s v="ALLEGRA"/>
    <x v="7"/>
    <x v="2"/>
    <n v="4"/>
    <x v="2"/>
    <n v="69.13"/>
    <n v="0.12"/>
    <n v="92.74"/>
    <n v="5.1827160000000001"/>
    <n v="8.5199999999999998E-2"/>
    <n v="80.489999999999995"/>
    <n v="9.02"/>
    <n v="64.667283999999995"/>
  </r>
  <r>
    <x v="8"/>
    <x v="8"/>
    <s v="ANADOR"/>
    <x v="8"/>
    <x v="0"/>
    <n v="1"/>
    <x v="6"/>
    <n v="12.92"/>
    <n v="0.17"/>
    <n v="17.329999999999998"/>
    <n v="0.91334400000000004"/>
    <n v="8.5199999999999998E-2"/>
    <n v="14.34"/>
    <n v="1.62"/>
    <n v="11.426655999999999"/>
  </r>
  <r>
    <x v="8"/>
    <x v="8"/>
    <s v="ANADOR"/>
    <x v="8"/>
    <x v="1"/>
    <n v="60"/>
    <x v="7"/>
    <n v="12.92"/>
    <n v="0.35"/>
    <n v="17.329999999999998"/>
    <n v="0.71567999999999998"/>
    <n v="8.5199999999999998E-2"/>
    <n v="14.34"/>
    <n v="1.88"/>
    <n v="9.5643200000000004"/>
  </r>
  <r>
    <x v="8"/>
    <x v="8"/>
    <s v="ANADOR"/>
    <x v="8"/>
    <x v="2"/>
    <n v="120"/>
    <x v="8"/>
    <n v="12.92"/>
    <n v="0.45"/>
    <n v="17.329999999999998"/>
    <n v="0.60577199999999998"/>
    <n v="8.5199999999999998E-2"/>
    <n v="14.34"/>
    <n v="2.02"/>
    <n v="8.5242280000000008"/>
  </r>
  <r>
    <x v="9"/>
    <x v="9"/>
    <s v="ANADOR"/>
    <x v="9"/>
    <x v="0"/>
    <n v="1"/>
    <x v="2"/>
    <n v="22.77"/>
    <n v="0.12"/>
    <n v="30.55"/>
    <n v="1.707408"/>
    <n v="8.5199999999999998E-2"/>
    <n v="26.23"/>
    <n v="2.91"/>
    <n v="21.242591999999998"/>
  </r>
  <r>
    <x v="9"/>
    <x v="9"/>
    <s v="ANADOR"/>
    <x v="9"/>
    <x v="1"/>
    <n v="60"/>
    <x v="7"/>
    <n v="22.77"/>
    <n v="0.35"/>
    <n v="30.55"/>
    <n v="1.2609600000000001"/>
    <n v="8.5199999999999998E-2"/>
    <n v="26.23"/>
    <n v="3.49"/>
    <n v="17.029039999999998"/>
  </r>
  <r>
    <x v="9"/>
    <x v="9"/>
    <s v="ANADOR"/>
    <x v="9"/>
    <x v="2"/>
    <n v="120"/>
    <x v="8"/>
    <n v="22.77"/>
    <n v="0.45"/>
    <n v="30.55"/>
    <n v="1.0667040000000001"/>
    <n v="8.5199999999999998E-2"/>
    <n v="26.23"/>
    <n v="3.74"/>
    <n v="15.193296"/>
  </r>
  <r>
    <x v="10"/>
    <x v="10"/>
    <s v="ANADOR"/>
    <x v="10"/>
    <x v="0"/>
    <n v="1"/>
    <x v="9"/>
    <n v="264.82"/>
    <n v="0.21"/>
    <n v="355.25"/>
    <n v="17.824691999999999"/>
    <n v="8.5199999999999998E-2"/>
    <n v="325.8"/>
    <n v="40.56"/>
    <n v="231.94530800000001"/>
  </r>
  <r>
    <x v="11"/>
    <x v="10"/>
    <s v="ANADOR"/>
    <x v="11"/>
    <x v="0"/>
    <n v="1"/>
    <x v="3"/>
    <n v="22.07"/>
    <n v="7.0000000000000007E-2"/>
    <n v="0"/>
    <n v="0"/>
    <n v="0"/>
    <n v="23.69"/>
    <n v="2.16"/>
    <n v="22.69"/>
  </r>
  <r>
    <x v="12"/>
    <x v="11"/>
    <s v="ANADOR"/>
    <x v="12"/>
    <x v="0"/>
    <n v="1"/>
    <x v="2"/>
    <n v="14.82"/>
    <n v="7.0000000000000007E-2"/>
    <n v="19.88"/>
    <n v="1.174056"/>
    <n v="8.5199999999999998E-2"/>
    <n v="17.86"/>
    <n v="1.97"/>
    <n v="14.575944"/>
  </r>
  <r>
    <x v="13"/>
    <x v="10"/>
    <s v="BISOLVON"/>
    <x v="13"/>
    <x v="0"/>
    <n v="1"/>
    <x v="10"/>
    <n v="18.940000000000001"/>
    <n v="0.08"/>
    <n v="25.41"/>
    <n v="1.4841839999999999"/>
    <n v="8.5199999999999998E-2"/>
    <n v="20.350000000000001"/>
    <n v="2.06"/>
    <n v="17.995816000000001"/>
  </r>
  <r>
    <x v="14"/>
    <x v="12"/>
    <s v="BISOLVON"/>
    <x v="14"/>
    <x v="0"/>
    <n v="1"/>
    <x v="11"/>
    <n v="13.23"/>
    <n v="0.12"/>
    <n v="17.75"/>
    <n v="0.99172800000000005"/>
    <n v="8.5199999999999998E-2"/>
    <n v="12.46"/>
    <n v="1.1499999999999999"/>
    <n v="11.798272000000001"/>
  </r>
  <r>
    <x v="15"/>
    <x v="13"/>
    <s v="BISOLVON"/>
    <x v="15"/>
    <x v="0"/>
    <n v="1"/>
    <x v="11"/>
    <n v="24.21"/>
    <n v="0.08"/>
    <n v="32.479999999999997"/>
    <n v="1.8974040000000001"/>
    <n v="8.5199999999999998E-2"/>
    <n v="27.79"/>
    <n v="2.98"/>
    <n v="23.352595999999998"/>
  </r>
  <r>
    <x v="16"/>
    <x v="14"/>
    <s v="TARGIFOR"/>
    <x v="16"/>
    <x v="0"/>
    <n v="1"/>
    <x v="3"/>
    <n v="13.42"/>
    <n v="0.08"/>
    <n v="18"/>
    <n v="1.0522199999999999"/>
    <n v="8.5199999999999998E-2"/>
    <n v="16.02"/>
    <n v="1.76"/>
    <n v="13.057779999999999"/>
  </r>
  <r>
    <x v="16"/>
    <x v="14"/>
    <s v="TARGIFOR"/>
    <x v="16"/>
    <x v="1"/>
    <n v="3"/>
    <x v="4"/>
    <n v="30.21"/>
    <n v="0.09"/>
    <n v="0"/>
    <n v="0"/>
    <n v="0"/>
    <n v="0"/>
    <n v="0"/>
    <n v="27.49"/>
  </r>
  <r>
    <x v="16"/>
    <x v="14"/>
    <s v="TARGIFOR"/>
    <x v="16"/>
    <x v="2"/>
    <n v="4"/>
    <x v="5"/>
    <n v="30.21"/>
    <n v="0.11"/>
    <n v="0"/>
    <n v="0"/>
    <n v="0"/>
    <n v="0"/>
    <n v="0"/>
    <n v="26.89"/>
  </r>
  <r>
    <x v="17"/>
    <x v="15"/>
    <s v="TARGIFOR"/>
    <x v="17"/>
    <x v="0"/>
    <n v="1"/>
    <x v="3"/>
    <n v="14.73"/>
    <n v="7.0000000000000007E-2"/>
    <n v="19.760000000000002"/>
    <n v="1.1672400000000001"/>
    <n v="8.5199999999999998E-2"/>
    <n v="17.23"/>
    <n v="1.86"/>
    <n v="14.392760000000001"/>
  </r>
  <r>
    <x v="17"/>
    <x v="15"/>
    <s v="TARGIFOR"/>
    <x v="17"/>
    <x v="1"/>
    <n v="3"/>
    <x v="4"/>
    <n v="16.97"/>
    <n v="0.09"/>
    <n v="0"/>
    <n v="0"/>
    <n v="0"/>
    <n v="0"/>
    <n v="0"/>
    <n v="15.44"/>
  </r>
  <r>
    <x v="17"/>
    <x v="15"/>
    <s v="TARGIFOR"/>
    <x v="17"/>
    <x v="2"/>
    <n v="4"/>
    <x v="5"/>
    <n v="16.97"/>
    <n v="0.11"/>
    <n v="0"/>
    <n v="0"/>
    <n v="0"/>
    <n v="0"/>
    <n v="0"/>
    <n v="15.1"/>
  </r>
  <r>
    <x v="18"/>
    <x v="10"/>
    <s v="TARGIFOR"/>
    <x v="18"/>
    <x v="0"/>
    <n v="1"/>
    <x v="3"/>
    <n v="39.31"/>
    <n v="0.11"/>
    <n v="0"/>
    <n v="0"/>
    <n v="0"/>
    <n v="0"/>
    <n v="0"/>
    <n v="34.99"/>
  </r>
  <r>
    <x v="18"/>
    <x v="10"/>
    <s v="TARGIFOR"/>
    <x v="18"/>
    <x v="1"/>
    <n v="3"/>
    <x v="4"/>
    <n v="15.1"/>
    <n v="0.09"/>
    <n v="0"/>
    <n v="0"/>
    <n v="0"/>
    <n v="0"/>
    <n v="0"/>
    <n v="13.74"/>
  </r>
  <r>
    <x v="18"/>
    <x v="10"/>
    <s v="TARGIFOR"/>
    <x v="18"/>
    <x v="2"/>
    <n v="4"/>
    <x v="5"/>
    <n v="15.1"/>
    <n v="0.11"/>
    <n v="0"/>
    <n v="0"/>
    <n v="0"/>
    <n v="0"/>
    <n v="0"/>
    <n v="13.44"/>
  </r>
  <r>
    <x v="19"/>
    <x v="16"/>
    <s v="COLIRIO"/>
    <x v="19"/>
    <x v="3"/>
    <n v="12"/>
    <x v="9"/>
    <n v="22.07"/>
    <n v="0.21"/>
    <n v="0"/>
    <n v="0"/>
    <n v="0"/>
    <n v="23.69"/>
    <n v="2.5299999999999998"/>
    <n v="19.97"/>
  </r>
  <r>
    <x v="19"/>
    <x v="16"/>
    <s v="COLIRIO"/>
    <x v="19"/>
    <x v="0"/>
    <n v="1"/>
    <x v="3"/>
    <n v="22.07"/>
    <n v="7.0000000000000007E-2"/>
    <n v="0"/>
    <n v="0"/>
    <n v="0"/>
    <n v="23.69"/>
    <n v="2.16"/>
    <n v="22.69"/>
  </r>
  <r>
    <x v="19"/>
    <x v="16"/>
    <s v="COLIRIO"/>
    <x v="19"/>
    <x v="1"/>
    <n v="5"/>
    <x v="4"/>
    <n v="22.07"/>
    <n v="0.09"/>
    <n v="0"/>
    <n v="0"/>
    <n v="0"/>
    <n v="23.69"/>
    <n v="2.21"/>
    <n v="22.29"/>
  </r>
  <r>
    <x v="19"/>
    <x v="16"/>
    <s v="COLIRIO"/>
    <x v="19"/>
    <x v="2"/>
    <n v="10"/>
    <x v="5"/>
    <n v="22.07"/>
    <n v="0.11"/>
    <n v="0"/>
    <n v="0"/>
    <n v="0"/>
    <n v="23.69"/>
    <n v="2.2599999999999998"/>
    <n v="21.9"/>
  </r>
  <r>
    <x v="20"/>
    <x v="10"/>
    <s v="FENERGAN"/>
    <x v="20"/>
    <x v="0"/>
    <n v="1"/>
    <x v="3"/>
    <n v="39.729999999999997"/>
    <n v="0.11"/>
    <n v="0"/>
    <n v="0"/>
    <n v="0"/>
    <n v="0"/>
    <n v="0"/>
    <n v="35.36"/>
  </r>
  <r>
    <x v="20"/>
    <x v="10"/>
    <s v="FENERGAN"/>
    <x v="20"/>
    <x v="1"/>
    <n v="3"/>
    <x v="4"/>
    <n v="22.17"/>
    <n v="0.09"/>
    <n v="29.74"/>
    <n v="1.7184839999999999"/>
    <n v="8.5199999999999998E-2"/>
    <n v="25.71"/>
    <n v="2.8"/>
    <n v="21.251515999999999"/>
  </r>
  <r>
    <x v="20"/>
    <x v="10"/>
    <s v="FENERGAN"/>
    <x v="20"/>
    <x v="2"/>
    <n v="4"/>
    <x v="5"/>
    <n v="22.17"/>
    <n v="0.11"/>
    <n v="29.74"/>
    <n v="1.6809959999999999"/>
    <n v="8.5199999999999998E-2"/>
    <n v="25.71"/>
    <n v="2.84"/>
    <n v="20.889004"/>
  </r>
  <r>
    <x v="21"/>
    <x v="17"/>
    <s v="DEPURA"/>
    <x v="21"/>
    <x v="0"/>
    <n v="1"/>
    <x v="3"/>
    <n v="15.17"/>
    <n v="7.0000000000000007E-2"/>
    <n v="20.350000000000001"/>
    <n v="1.202172"/>
    <n v="8.5199999999999998E-2"/>
    <n v="18.09"/>
    <n v="1.98"/>
    <n v="14.887828000000001"/>
  </r>
  <r>
    <x v="22"/>
    <x v="18"/>
    <s v="DORFLEX"/>
    <x v="22"/>
    <x v="0"/>
    <n v="1"/>
    <x v="3"/>
    <n v="14.82"/>
    <n v="7.0000000000000007E-2"/>
    <n v="19.88"/>
    <n v="1.174056"/>
    <n v="8.5199999999999998E-2"/>
    <n v="17.86"/>
    <n v="1.97"/>
    <n v="14.575944"/>
  </r>
  <r>
    <x v="22"/>
    <x v="18"/>
    <s v="DORFLEX"/>
    <x v="22"/>
    <x v="1"/>
    <n v="4"/>
    <x v="4"/>
    <n v="14.82"/>
    <n v="0.09"/>
    <n v="19.88"/>
    <n v="1.149348"/>
    <n v="8.5199999999999998E-2"/>
    <n v="17.86"/>
    <n v="2"/>
    <n v="14.340652"/>
  </r>
  <r>
    <x v="22"/>
    <x v="18"/>
    <s v="DORFLEX"/>
    <x v="22"/>
    <x v="2"/>
    <n v="8"/>
    <x v="5"/>
    <n v="14.82"/>
    <n v="0.11"/>
    <n v="19.88"/>
    <n v="1.123788"/>
    <n v="8.5199999999999998E-2"/>
    <n v="17.86"/>
    <n v="2.0299999999999998"/>
    <n v="14.096212"/>
  </r>
  <r>
    <x v="23"/>
    <x v="19"/>
    <s v="DORFLEX"/>
    <x v="23"/>
    <x v="0"/>
    <n v="1"/>
    <x v="4"/>
    <n v="35.700000000000003"/>
    <n v="7.0000000000000007E-2"/>
    <n v="47.89"/>
    <n v="2.82864"/>
    <n v="8.5199999999999998E-2"/>
    <n v="39.85"/>
    <n v="4.13"/>
    <n v="34.501359999999998"/>
  </r>
  <r>
    <x v="23"/>
    <x v="19"/>
    <s v="DORFLEX"/>
    <x v="23"/>
    <x v="1"/>
    <n v="2"/>
    <x v="5"/>
    <n v="193.75"/>
    <n v="0.11"/>
    <n v="259.91000000000003"/>
    <n v="14.691888000000001"/>
    <n v="8.5199999999999998E-2"/>
    <n v="236.4"/>
    <n v="27.17"/>
    <n v="184.91811200000001"/>
  </r>
  <r>
    <x v="23"/>
    <x v="19"/>
    <s v="DORFLEX"/>
    <x v="23"/>
    <x v="2"/>
    <n v="4"/>
    <x v="12"/>
    <n v="193.75"/>
    <n v="0.13"/>
    <n v="259.91000000000003"/>
    <n v="14.361312"/>
    <n v="8.5199999999999998E-2"/>
    <n v="236.4"/>
    <n v="27.6"/>
    <n v="181.798688"/>
  </r>
  <r>
    <x v="24"/>
    <x v="20"/>
    <s v="DORFLEX"/>
    <x v="24"/>
    <x v="0"/>
    <n v="1"/>
    <x v="0"/>
    <n v="18.940000000000001"/>
    <n v="0.08"/>
    <n v="25.41"/>
    <n v="1.4841839999999999"/>
    <n v="8.5199999999999998E-2"/>
    <n v="20.350000000000001"/>
    <n v="2.06"/>
    <n v="17.995816000000001"/>
  </r>
  <r>
    <x v="24"/>
    <x v="20"/>
    <s v="DORFLEX"/>
    <x v="24"/>
    <x v="1"/>
    <n v="30"/>
    <x v="1"/>
    <n v="18.940000000000001"/>
    <n v="0.1"/>
    <n v="25.41"/>
    <n v="1.4526600000000001"/>
    <n v="8.5199999999999998E-2"/>
    <n v="20.350000000000001"/>
    <n v="2.1"/>
    <n v="17.697340000000001"/>
  </r>
  <r>
    <x v="24"/>
    <x v="20"/>
    <s v="DORFLEX"/>
    <x v="24"/>
    <x v="2"/>
    <n v="60"/>
    <x v="2"/>
    <n v="18.940000000000001"/>
    <n v="0.12"/>
    <n v="25.41"/>
    <n v="1.4202840000000001"/>
    <n v="8.5199999999999998E-2"/>
    <n v="20.350000000000001"/>
    <n v="2.14"/>
    <n v="17.389716"/>
  </r>
  <r>
    <x v="25"/>
    <x v="21"/>
    <s v="DORFLEX"/>
    <x v="25"/>
    <x v="0"/>
    <n v="1"/>
    <x v="2"/>
    <n v="13.23"/>
    <n v="0.12"/>
    <n v="17.75"/>
    <n v="0.99172800000000005"/>
    <n v="8.5199999999999998E-2"/>
    <n v="12.46"/>
    <n v="1.1499999999999999"/>
    <n v="11.798272000000001"/>
  </r>
  <r>
    <x v="25"/>
    <x v="21"/>
    <s v="DORFLEX"/>
    <x v="25"/>
    <x v="1"/>
    <n v="10"/>
    <x v="13"/>
    <n v="13.23"/>
    <n v="0.3"/>
    <n v="17.75"/>
    <n v="0.78895199999999999"/>
    <n v="8.5199999999999998E-2"/>
    <n v="12.46"/>
    <n v="1.41"/>
    <n v="9.8810479999999998"/>
  </r>
  <r>
    <x v="25"/>
    <x v="21"/>
    <s v="DORFLEX"/>
    <x v="25"/>
    <x v="2"/>
    <n v="20"/>
    <x v="8"/>
    <n v="13.23"/>
    <n v="0.45"/>
    <n v="17.75"/>
    <n v="0.62025600000000003"/>
    <n v="8.5199999999999998E-2"/>
    <n v="12.46"/>
    <n v="1.63"/>
    <n v="8.2897440000000007"/>
  </r>
  <r>
    <x v="26"/>
    <x v="22"/>
    <s v="DORFLEX"/>
    <x v="26"/>
    <x v="0"/>
    <n v="1"/>
    <x v="1"/>
    <n v="56.75"/>
    <n v="0.23"/>
    <n v="0"/>
    <n v="0"/>
    <n v="0"/>
    <n v="0"/>
    <n v="0"/>
    <n v="43.7"/>
  </r>
  <r>
    <x v="27"/>
    <x v="23"/>
    <s v="DORFLEX"/>
    <x v="27"/>
    <x v="0"/>
    <n v="1"/>
    <x v="0"/>
    <n v="24.21"/>
    <n v="0.08"/>
    <n v="32.479999999999997"/>
    <n v="1.8974040000000001"/>
    <n v="8.5199999999999998E-2"/>
    <n v="27.79"/>
    <n v="2.98"/>
    <n v="23.352595999999998"/>
  </r>
  <r>
    <x v="27"/>
    <x v="23"/>
    <s v="DORFLEX"/>
    <x v="27"/>
    <x v="1"/>
    <n v="3"/>
    <x v="12"/>
    <n v="24.21"/>
    <n v="0.13"/>
    <n v="32.479999999999997"/>
    <n v="1.7943119999999999"/>
    <n v="8.5199999999999998E-2"/>
    <n v="27.79"/>
    <n v="3.11"/>
    <n v="22.375688"/>
  </r>
  <r>
    <x v="27"/>
    <x v="23"/>
    <s v="DORFLEX"/>
    <x v="27"/>
    <x v="2"/>
    <n v="4"/>
    <x v="14"/>
    <n v="24.21"/>
    <n v="0.16"/>
    <n v="32.479999999999997"/>
    <n v="1.7329680000000001"/>
    <n v="8.5199999999999998E-2"/>
    <n v="27.79"/>
    <n v="3.19"/>
    <n v="21.797032000000002"/>
  </r>
  <r>
    <x v="28"/>
    <x v="24"/>
    <s v="DORFLEX"/>
    <x v="28"/>
    <x v="0"/>
    <n v="1"/>
    <x v="0"/>
    <n v="13.42"/>
    <n v="0.08"/>
    <n v="18"/>
    <n v="1.0522199999999999"/>
    <n v="8.5199999999999998E-2"/>
    <n v="16.02"/>
    <n v="1.76"/>
    <n v="13.057779999999999"/>
  </r>
  <r>
    <x v="28"/>
    <x v="24"/>
    <s v="DORFLEX"/>
    <x v="28"/>
    <x v="1"/>
    <n v="4"/>
    <x v="12"/>
    <n v="13.42"/>
    <n v="0.13"/>
    <n v="18"/>
    <n v="0.99513600000000002"/>
    <n v="8.5199999999999998E-2"/>
    <n v="16.02"/>
    <n v="1.84"/>
    <n v="12.524864000000001"/>
  </r>
  <r>
    <x v="28"/>
    <x v="24"/>
    <s v="DORFLEX"/>
    <x v="28"/>
    <x v="2"/>
    <n v="8"/>
    <x v="14"/>
    <n v="13.42"/>
    <n v="0.16"/>
    <n v="18"/>
    <n v="0.96020399999999995"/>
    <n v="8.5199999999999998E-2"/>
    <n v="16.02"/>
    <n v="1.88"/>
    <n v="12.189795999999999"/>
  </r>
  <r>
    <x v="29"/>
    <x v="25"/>
    <s v="DORFLEX"/>
    <x v="29"/>
    <x v="0"/>
    <n v="1"/>
    <x v="1"/>
    <n v="150.07"/>
    <n v="0.1"/>
    <n v="201.31"/>
    <n v="11.507111999999999"/>
    <n v="8.5199999999999998E-2"/>
    <n v="9.51"/>
    <n v="0"/>
    <n v="123.552888"/>
  </r>
  <r>
    <x v="30"/>
    <x v="26"/>
    <s v="DORFLEX"/>
    <x v="30"/>
    <x v="0"/>
    <n v="1"/>
    <x v="3"/>
    <n v="14.73"/>
    <n v="7.0000000000000007E-2"/>
    <n v="19.760000000000002"/>
    <n v="1.1672400000000001"/>
    <n v="8.5199999999999998E-2"/>
    <n v="17.23"/>
    <n v="1.86"/>
    <n v="14.392760000000001"/>
  </r>
  <r>
    <x v="30"/>
    <x v="26"/>
    <s v="DORFLEX"/>
    <x v="30"/>
    <x v="1"/>
    <n v="3"/>
    <x v="5"/>
    <n v="14.73"/>
    <n v="0.11"/>
    <n v="19.760000000000002"/>
    <n v="1.1169720000000001"/>
    <n v="8.5199999999999998E-2"/>
    <n v="17.23"/>
    <n v="1.92"/>
    <n v="13.913028000000001"/>
  </r>
  <r>
    <x v="30"/>
    <x v="26"/>
    <s v="DORFLEX"/>
    <x v="30"/>
    <x v="2"/>
    <n v="6"/>
    <x v="2"/>
    <n v="14.73"/>
    <n v="0.12"/>
    <n v="19.760000000000002"/>
    <n v="1.1041920000000001"/>
    <n v="8.5199999999999998E-2"/>
    <n v="17.23"/>
    <n v="1.94"/>
    <n v="13.795807999999999"/>
  </r>
  <r>
    <x v="31"/>
    <x v="27"/>
    <s v="DORFLEX"/>
    <x v="31"/>
    <x v="0"/>
    <n v="1"/>
    <x v="3"/>
    <n v="23.86"/>
    <n v="7.0000000000000007E-2"/>
    <n v="32.01"/>
    <n v="1.8905879999999999"/>
    <n v="8.5199999999999998E-2"/>
    <n v="27.33"/>
    <n v="2.89"/>
    <n v="23.189412000000001"/>
  </r>
  <r>
    <x v="31"/>
    <x v="27"/>
    <s v="DORFLEX"/>
    <x v="31"/>
    <x v="1"/>
    <n v="3"/>
    <x v="5"/>
    <n v="23.86"/>
    <n v="0.11"/>
    <n v="32.01"/>
    <n v="1.8096479999999999"/>
    <n v="8.5199999999999998E-2"/>
    <n v="27.33"/>
    <n v="3"/>
    <n v="22.430351999999999"/>
  </r>
  <r>
    <x v="31"/>
    <x v="27"/>
    <s v="DORFLEX"/>
    <x v="31"/>
    <x v="2"/>
    <n v="4"/>
    <x v="2"/>
    <n v="23.86"/>
    <n v="0.12"/>
    <n v="32.01"/>
    <n v="1.7891999999999999"/>
    <n v="8.5199999999999998E-2"/>
    <n v="27.33"/>
    <n v="3.02"/>
    <n v="22.230799999999999"/>
  </r>
  <r>
    <x v="32"/>
    <x v="28"/>
    <s v="DULCOLAX"/>
    <x v="32"/>
    <x v="0"/>
    <n v="1"/>
    <x v="4"/>
    <n v="15.54"/>
    <n v="0.09"/>
    <n v="20.85"/>
    <n v="1.204728"/>
    <n v="8.5199999999999998E-2"/>
    <n v="18.3"/>
    <n v="2.02"/>
    <n v="14.955272000000001"/>
  </r>
  <r>
    <x v="33"/>
    <x v="29"/>
    <s v="DULCOLAX"/>
    <x v="33"/>
    <x v="0"/>
    <n v="1"/>
    <x v="4"/>
    <n v="30"/>
    <n v="0.09"/>
    <n v="40.24"/>
    <n v="2.3259599999999998"/>
    <n v="8.5199999999999998E-2"/>
    <n v="35.06"/>
    <n v="3.84"/>
    <n v="28.814039999999999"/>
  </r>
  <r>
    <x v="34"/>
    <x v="30"/>
    <n v="36381"/>
    <x v="34"/>
    <x v="3"/>
    <n v="30"/>
    <x v="15"/>
    <n v="39.31"/>
    <n v="0.26"/>
    <n v="0"/>
    <n v="0"/>
    <n v="0"/>
    <n v="0"/>
    <n v="0"/>
    <n v="29.09"/>
  </r>
  <r>
    <x v="34"/>
    <x v="30"/>
    <s v="ENTEROGERMINA"/>
    <x v="34"/>
    <x v="4"/>
    <n v="40"/>
    <x v="13"/>
    <n v="39.31"/>
    <n v="0.3"/>
    <n v="0"/>
    <n v="0"/>
    <n v="0"/>
    <n v="0"/>
    <n v="0"/>
    <n v="27.52"/>
  </r>
  <r>
    <x v="34"/>
    <x v="30"/>
    <s v="ENTEROGERMINA"/>
    <x v="34"/>
    <x v="0"/>
    <n v="1"/>
    <x v="5"/>
    <n v="39.31"/>
    <n v="0.11"/>
    <n v="0"/>
    <n v="0"/>
    <n v="0"/>
    <n v="0"/>
    <n v="0"/>
    <n v="34.99"/>
  </r>
  <r>
    <x v="34"/>
    <x v="30"/>
    <s v="ENTEROGERMINA"/>
    <x v="34"/>
    <x v="1"/>
    <n v="6"/>
    <x v="11"/>
    <n v="39.31"/>
    <n v="0.15"/>
    <n v="0"/>
    <n v="0"/>
    <n v="0"/>
    <n v="0"/>
    <n v="0"/>
    <n v="33.409999999999997"/>
  </r>
  <r>
    <x v="34"/>
    <x v="30"/>
    <s v="ENTEROGERMINA"/>
    <x v="34"/>
    <x v="2"/>
    <n v="14"/>
    <x v="6"/>
    <n v="39.31"/>
    <n v="0.17"/>
    <n v="0"/>
    <n v="0"/>
    <n v="0"/>
    <n v="0"/>
    <n v="0"/>
    <n v="32.630000000000003"/>
  </r>
  <r>
    <x v="35"/>
    <x v="31"/>
    <n v="46785"/>
    <x v="35"/>
    <x v="3"/>
    <n v="10"/>
    <x v="15"/>
    <n v="62.55"/>
    <n v="0.26"/>
    <n v="0"/>
    <n v="0"/>
    <n v="0"/>
    <n v="0"/>
    <n v="0"/>
    <n v="46.29"/>
  </r>
  <r>
    <x v="35"/>
    <x v="31"/>
    <s v="ENTEROGERMINA"/>
    <x v="35"/>
    <x v="4"/>
    <n v="15"/>
    <x v="13"/>
    <n v="62.55"/>
    <n v="0.3"/>
    <n v="0"/>
    <n v="0"/>
    <n v="0"/>
    <n v="0"/>
    <n v="0"/>
    <n v="43.79"/>
  </r>
  <r>
    <x v="35"/>
    <x v="31"/>
    <s v="ENTEROGERMINA"/>
    <x v="35"/>
    <x v="0"/>
    <n v="1"/>
    <x v="5"/>
    <n v="62.55"/>
    <n v="0.11"/>
    <n v="0"/>
    <n v="0"/>
    <n v="0"/>
    <n v="0"/>
    <n v="0"/>
    <n v="55.67"/>
  </r>
  <r>
    <x v="35"/>
    <x v="31"/>
    <s v="ENTEROGERMINA"/>
    <x v="35"/>
    <x v="1"/>
    <n v="3"/>
    <x v="11"/>
    <n v="62.55"/>
    <n v="0.15"/>
    <n v="0"/>
    <n v="0"/>
    <n v="0"/>
    <n v="0"/>
    <n v="0"/>
    <n v="53.17"/>
  </r>
  <r>
    <x v="35"/>
    <x v="31"/>
    <s v="ENTEROGERMINA"/>
    <x v="35"/>
    <x v="2"/>
    <n v="4"/>
    <x v="6"/>
    <n v="62.55"/>
    <n v="0.17"/>
    <n v="0"/>
    <n v="0"/>
    <n v="0"/>
    <n v="0"/>
    <n v="0"/>
    <n v="51.92"/>
  </r>
  <r>
    <x v="36"/>
    <x v="32"/>
    <n v="61315"/>
    <x v="36"/>
    <x v="3"/>
    <n v="10"/>
    <x v="15"/>
    <n v="29.71"/>
    <n v="0.26"/>
    <n v="0"/>
    <n v="0"/>
    <n v="0"/>
    <n v="0"/>
    <n v="0"/>
    <n v="21.99"/>
  </r>
  <r>
    <x v="36"/>
    <x v="32"/>
    <s v="ENTEROGERMINA"/>
    <x v="36"/>
    <x v="4"/>
    <n v="15"/>
    <x v="13"/>
    <n v="29.71"/>
    <n v="0.3"/>
    <n v="0"/>
    <n v="0"/>
    <n v="0"/>
    <n v="0"/>
    <n v="0"/>
    <n v="20.8"/>
  </r>
  <r>
    <x v="36"/>
    <x v="32"/>
    <s v="ENTEROGERMINA"/>
    <x v="36"/>
    <x v="0"/>
    <n v="1"/>
    <x v="5"/>
    <n v="29.71"/>
    <n v="0.11"/>
    <n v="0"/>
    <n v="0"/>
    <n v="0"/>
    <n v="0"/>
    <n v="0"/>
    <n v="26.44"/>
  </r>
  <r>
    <x v="36"/>
    <x v="32"/>
    <s v="ENTEROGERMINA"/>
    <x v="36"/>
    <x v="1"/>
    <n v="3"/>
    <x v="11"/>
    <n v="29.71"/>
    <n v="0.15"/>
    <n v="0"/>
    <n v="0"/>
    <n v="0"/>
    <n v="0"/>
    <n v="0"/>
    <n v="25.25"/>
  </r>
  <r>
    <x v="36"/>
    <x v="32"/>
    <s v="ENTEROGERMINA"/>
    <x v="36"/>
    <x v="2"/>
    <n v="4"/>
    <x v="6"/>
    <n v="29.71"/>
    <n v="0.17"/>
    <n v="0"/>
    <n v="0"/>
    <n v="0"/>
    <n v="0"/>
    <n v="0"/>
    <n v="24.66"/>
  </r>
  <r>
    <x v="37"/>
    <x v="33"/>
    <n v="55156"/>
    <x v="37"/>
    <x v="3"/>
    <n v="10"/>
    <x v="15"/>
    <n v="63.59"/>
    <n v="0.26"/>
    <n v="0"/>
    <n v="0"/>
    <n v="0"/>
    <n v="0"/>
    <n v="0"/>
    <n v="47.06"/>
  </r>
  <r>
    <x v="37"/>
    <x v="33"/>
    <s v="ENTEROGERMINA"/>
    <x v="37"/>
    <x v="4"/>
    <n v="15"/>
    <x v="13"/>
    <n v="63.59"/>
    <n v="0.3"/>
    <n v="0"/>
    <n v="0"/>
    <n v="0"/>
    <n v="0"/>
    <n v="0"/>
    <n v="44.51"/>
  </r>
  <r>
    <x v="37"/>
    <x v="33"/>
    <s v="ENTEROGERMINA"/>
    <x v="37"/>
    <x v="0"/>
    <n v="1"/>
    <x v="5"/>
    <n v="63.59"/>
    <n v="0.11"/>
    <n v="0"/>
    <n v="0"/>
    <n v="0"/>
    <n v="0"/>
    <n v="0"/>
    <n v="56.6"/>
  </r>
  <r>
    <x v="37"/>
    <x v="33"/>
    <s v="ENTEROGERMINA"/>
    <x v="37"/>
    <x v="1"/>
    <n v="3"/>
    <x v="11"/>
    <n v="63.59"/>
    <n v="0.15"/>
    <n v="0"/>
    <n v="0"/>
    <n v="0"/>
    <n v="0"/>
    <n v="0"/>
    <n v="54.05"/>
  </r>
  <r>
    <x v="37"/>
    <x v="33"/>
    <s v="ENTEROGERMINA"/>
    <x v="37"/>
    <x v="2"/>
    <n v="4"/>
    <x v="6"/>
    <n v="63.59"/>
    <n v="0.17"/>
    <n v="0"/>
    <n v="0"/>
    <n v="0"/>
    <n v="0"/>
    <n v="0"/>
    <n v="52.78"/>
  </r>
  <r>
    <x v="38"/>
    <x v="34"/>
    <n v="41036"/>
    <x v="38"/>
    <x v="3"/>
    <n v="18"/>
    <x v="15"/>
    <n v="39.729999999999997"/>
    <n v="0.26"/>
    <n v="0"/>
    <n v="0"/>
    <n v="0"/>
    <n v="0"/>
    <n v="0"/>
    <n v="29.4"/>
  </r>
  <r>
    <x v="38"/>
    <x v="34"/>
    <s v="ENTEROGERMINA"/>
    <x v="38"/>
    <x v="4"/>
    <n v="30"/>
    <x v="13"/>
    <n v="39.729999999999997"/>
    <n v="0.3"/>
    <n v="0"/>
    <n v="0"/>
    <n v="0"/>
    <n v="0"/>
    <n v="0"/>
    <n v="27.81"/>
  </r>
  <r>
    <x v="38"/>
    <x v="34"/>
    <s v="ENTEROGERMINA"/>
    <x v="38"/>
    <x v="0"/>
    <n v="1"/>
    <x v="5"/>
    <n v="39.729999999999997"/>
    <n v="0.11"/>
    <n v="0"/>
    <n v="0"/>
    <n v="0"/>
    <n v="0"/>
    <n v="0"/>
    <n v="35.36"/>
  </r>
  <r>
    <x v="38"/>
    <x v="34"/>
    <s v="ENTEROGERMINA"/>
    <x v="38"/>
    <x v="1"/>
    <n v="5"/>
    <x v="11"/>
    <n v="39.729999999999997"/>
    <n v="0.15"/>
    <n v="0"/>
    <n v="0"/>
    <n v="0"/>
    <n v="0"/>
    <n v="0"/>
    <n v="33.770000000000003"/>
  </r>
  <r>
    <x v="38"/>
    <x v="34"/>
    <s v="ENTEROGERMINA"/>
    <x v="38"/>
    <x v="2"/>
    <n v="10"/>
    <x v="6"/>
    <n v="39.729999999999997"/>
    <n v="0.17"/>
    <n v="0"/>
    <n v="0"/>
    <n v="0"/>
    <n v="0"/>
    <n v="0"/>
    <n v="32.979999999999997"/>
  </r>
  <r>
    <x v="39"/>
    <x v="35"/>
    <s v="FENERGAN"/>
    <x v="39"/>
    <x v="0"/>
    <n v="1"/>
    <x v="3"/>
    <n v="15.17"/>
    <n v="7.0000000000000007E-2"/>
    <n v="20.350000000000001"/>
    <n v="1.202172"/>
    <n v="8.5199999999999998E-2"/>
    <n v="18.09"/>
    <n v="1.98"/>
    <n v="14.887828000000001"/>
  </r>
  <r>
    <x v="39"/>
    <x v="35"/>
    <s v="FENERGAN"/>
    <x v="39"/>
    <x v="1"/>
    <n v="3"/>
    <x v="4"/>
    <n v="15.17"/>
    <n v="0.09"/>
    <n v="20.350000000000001"/>
    <n v="1.1757599999999999"/>
    <n v="8.5199999999999998E-2"/>
    <n v="18.09"/>
    <n v="2.02"/>
    <n v="14.64424"/>
  </r>
  <r>
    <x v="39"/>
    <x v="35"/>
    <s v="FENERGAN"/>
    <x v="39"/>
    <x v="2"/>
    <n v="6"/>
    <x v="5"/>
    <n v="15.17"/>
    <n v="0.11"/>
    <n v="20.350000000000001"/>
    <n v="1.1501999999999999"/>
    <n v="8.5199999999999998E-2"/>
    <n v="18.09"/>
    <n v="2.0499999999999998"/>
    <n v="14.399800000000001"/>
  </r>
  <r>
    <x v="40"/>
    <x v="36"/>
    <s v="GUTTALAX"/>
    <x v="40"/>
    <x v="0"/>
    <n v="1"/>
    <x v="4"/>
    <n v="35.85"/>
    <n v="0.09"/>
    <n v="48.09"/>
    <n v="2.7792240000000001"/>
    <n v="8.5199999999999998E-2"/>
    <n v="38.299999999999997"/>
    <n v="3.89"/>
    <n v="33.730775999999999"/>
  </r>
  <r>
    <x v="41"/>
    <x v="10"/>
    <s v="MOBILITY"/>
    <x v="41"/>
    <x v="0"/>
    <n v="1"/>
    <x v="16"/>
    <n v="191.36"/>
    <n v="0.28000000000000003"/>
    <n v="0"/>
    <n v="0"/>
    <n v="0"/>
    <n v="0"/>
    <n v="0"/>
    <n v="137.78"/>
  </r>
  <r>
    <x v="42"/>
    <x v="37"/>
    <s v="MOBILITY"/>
    <x v="42"/>
    <x v="0"/>
    <n v="1"/>
    <x v="4"/>
    <n v="101.65"/>
    <n v="0.09"/>
    <n v="0"/>
    <n v="0"/>
    <n v="0"/>
    <n v="0"/>
    <n v="0"/>
    <n v="92.5"/>
  </r>
  <r>
    <x v="43"/>
    <x v="38"/>
    <s v="MOBILITY"/>
    <x v="43"/>
    <x v="0"/>
    <n v="1"/>
    <x v="4"/>
    <n v="107.38"/>
    <n v="0.09"/>
    <n v="0"/>
    <n v="0"/>
    <n v="0"/>
    <n v="0"/>
    <n v="0"/>
    <n v="97.72"/>
  </r>
  <r>
    <x v="44"/>
    <x v="39"/>
    <s v="MOBILITY"/>
    <x v="44"/>
    <x v="0"/>
    <n v="1"/>
    <x v="4"/>
    <n v="132.27000000000001"/>
    <n v="0.09"/>
    <n v="0"/>
    <n v="0"/>
    <n v="0"/>
    <n v="0"/>
    <n v="0"/>
    <n v="120.37"/>
  </r>
  <r>
    <x v="45"/>
    <x v="40"/>
    <s v="MUCOSOLVAN"/>
    <x v="45"/>
    <x v="0"/>
    <n v="1"/>
    <x v="11"/>
    <n v="49.6"/>
    <n v="0.15"/>
    <n v="66.540000000000006"/>
    <n v="3.5920320000000001"/>
    <n v="8.5199999999999998E-2"/>
    <n v="54.46"/>
    <n v="5.99"/>
    <n v="44.557968000000002"/>
  </r>
  <r>
    <x v="46"/>
    <x v="10"/>
    <s v="MUCOSOLVAN"/>
    <x v="46"/>
    <x v="0"/>
    <n v="1"/>
    <x v="11"/>
    <n v="35.71"/>
    <n v="0.15"/>
    <n v="47.9"/>
    <n v="2.58582"/>
    <n v="8.5199999999999998E-2"/>
    <n v="42.15"/>
    <n v="4.8899999999999997"/>
    <n v="32.654179999999997"/>
  </r>
  <r>
    <x v="47"/>
    <x v="41"/>
    <n v="20513"/>
    <x v="47"/>
    <x v="3"/>
    <n v="24"/>
    <x v="17"/>
    <n v="19.55"/>
    <n v="0.19"/>
    <n v="26.23"/>
    <n v="1.3495680000000001"/>
    <n v="8.5199999999999998E-2"/>
    <n v="22.27"/>
    <n v="2.6"/>
    <n v="17.090432"/>
  </r>
  <r>
    <x v="47"/>
    <x v="41"/>
    <s v="NOVALGINA"/>
    <x v="47"/>
    <x v="4"/>
    <n v="40"/>
    <x v="18"/>
    <n v="19.55"/>
    <n v="0.23"/>
    <n v="26.23"/>
    <n v="1.28226"/>
    <n v="8.5199999999999998E-2"/>
    <n v="22.27"/>
    <n v="2.69"/>
    <n v="16.457740000000001"/>
  </r>
  <r>
    <x v="47"/>
    <x v="41"/>
    <s v="NOVALGINA"/>
    <x v="47"/>
    <x v="0"/>
    <n v="1"/>
    <x v="0"/>
    <n v="19.55"/>
    <n v="0.08"/>
    <n v="26.23"/>
    <n v="1.532748"/>
    <n v="8.5199999999999998E-2"/>
    <n v="22.27"/>
    <n v="2.36"/>
    <n v="18.817252"/>
  </r>
  <r>
    <x v="47"/>
    <x v="41"/>
    <s v="NOVALGINA"/>
    <x v="47"/>
    <x v="1"/>
    <n v="6"/>
    <x v="1"/>
    <n v="19.55"/>
    <n v="0.1"/>
    <n v="26.23"/>
    <n v="1.4986679999999999"/>
    <n v="8.5199999999999998E-2"/>
    <n v="22.27"/>
    <n v="2.41"/>
    <n v="18.501332000000001"/>
  </r>
  <r>
    <x v="47"/>
    <x v="41"/>
    <s v="NOVALGINA"/>
    <x v="47"/>
    <x v="2"/>
    <n v="12"/>
    <x v="2"/>
    <n v="19.55"/>
    <n v="0.12"/>
    <n v="26.23"/>
    <n v="1.4654400000000001"/>
    <n v="8.5199999999999998E-2"/>
    <n v="22.27"/>
    <n v="2.4500000000000002"/>
    <n v="18.184560000000001"/>
  </r>
  <r>
    <x v="48"/>
    <x v="42"/>
    <n v="36957"/>
    <x v="47"/>
    <x v="3"/>
    <n v="12"/>
    <x v="17"/>
    <n v="28.56"/>
    <n v="0.19"/>
    <n v="38.31"/>
    <n v="1.9706760000000001"/>
    <n v="8.5199999999999998E-2"/>
    <n v="33.979999999999997"/>
    <n v="4.09"/>
    <n v="25.249324000000001"/>
  </r>
  <r>
    <x v="48"/>
    <x v="42"/>
    <s v="NOVALGINA"/>
    <x v="48"/>
    <x v="0"/>
    <n v="1"/>
    <x v="5"/>
    <n v="28.56"/>
    <n v="0.11"/>
    <n v="38.31"/>
    <n v="2.1657839999999999"/>
    <n v="8.5199999999999998E-2"/>
    <n v="33.979999999999997"/>
    <n v="3.84"/>
    <n v="27.094215999999999"/>
  </r>
  <r>
    <x v="49"/>
    <x v="10"/>
    <n v="0"/>
    <x v="49"/>
    <x v="3"/>
    <n v="3"/>
    <x v="17"/>
    <n v="247.48"/>
    <n v="0.19"/>
    <n v="331.99"/>
    <n v="17.079191999999999"/>
    <n v="8.5199999999999998E-2"/>
    <n v="269"/>
    <n v="30.45"/>
    <n v="213.83080799999999"/>
  </r>
  <r>
    <x v="49"/>
    <x v="10"/>
    <s v="NOVALGINA"/>
    <x v="49"/>
    <x v="0"/>
    <n v="1"/>
    <x v="5"/>
    <n v="247.48"/>
    <n v="0.11"/>
    <n v="331.99"/>
    <n v="18.766152000000002"/>
    <n v="8.5199999999999998E-2"/>
    <n v="269"/>
    <n v="28.28"/>
    <n v="229.77384799999999"/>
  </r>
  <r>
    <x v="50"/>
    <x v="43"/>
    <s v="NOVALGINA"/>
    <x v="50"/>
    <x v="0"/>
    <n v="1"/>
    <x v="5"/>
    <n v="298.07"/>
    <n v="0.11"/>
    <n v="399.85"/>
    <n v="22.601856000000002"/>
    <n v="8.5199999999999998E-2"/>
    <n v="350.5"/>
    <n v="39.229999999999997"/>
    <n v="281.90814399999999"/>
  </r>
  <r>
    <x v="51"/>
    <x v="44"/>
    <s v="NOVALGINA"/>
    <x v="51"/>
    <x v="0"/>
    <n v="1"/>
    <x v="3"/>
    <n v="35.700000000000003"/>
    <n v="7.0000000000000007E-2"/>
    <n v="47.89"/>
    <n v="2.82864"/>
    <n v="8.5199999999999998E-2"/>
    <n v="39.85"/>
    <n v="4.13"/>
    <n v="34.501359999999998"/>
  </r>
  <r>
    <x v="51"/>
    <x v="44"/>
    <s v="NOVALGINA"/>
    <x v="51"/>
    <x v="1"/>
    <n v="4"/>
    <x v="4"/>
    <n v="35.700000000000003"/>
    <n v="0.09"/>
    <n v="47.89"/>
    <n v="2.7681480000000001"/>
    <n v="8.5199999999999998E-2"/>
    <n v="39.85"/>
    <n v="4.2"/>
    <n v="33.921852000000001"/>
  </r>
  <r>
    <x v="51"/>
    <x v="44"/>
    <s v="NOVALGINA"/>
    <x v="51"/>
    <x v="2"/>
    <n v="6"/>
    <x v="5"/>
    <n v="35.700000000000003"/>
    <n v="0.11"/>
    <n v="47.89"/>
    <n v="2.706804"/>
    <n v="8.5199999999999998E-2"/>
    <n v="39.85"/>
    <n v="4.28"/>
    <n v="33.343195999999999"/>
  </r>
  <r>
    <x v="52"/>
    <x v="45"/>
    <s v="NOVALGINA"/>
    <x v="52"/>
    <x v="0"/>
    <n v="1"/>
    <x v="4"/>
    <n v="18.510000000000002"/>
    <n v="0.09"/>
    <n v="24.83"/>
    <n v="1.434768"/>
    <n v="8.5199999999999998E-2"/>
    <n v="21.27"/>
    <n v="2.2999999999999998"/>
    <n v="17.705231999999999"/>
  </r>
  <r>
    <x v="53"/>
    <x v="46"/>
    <s v="NOVALGINA"/>
    <x v="53"/>
    <x v="0"/>
    <n v="1"/>
    <x v="4"/>
    <n v="321.52999999999997"/>
    <n v="0.09"/>
    <n v="431.32"/>
    <n v="24.928667999999998"/>
    <n v="8.5199999999999998E-2"/>
    <n v="380.16"/>
    <n v="42.01"/>
    <n v="309.67133200000001"/>
  </r>
  <r>
    <x v="54"/>
    <x v="47"/>
    <s v="NOVALGINA"/>
    <x v="54"/>
    <x v="0"/>
    <n v="1"/>
    <x v="4"/>
    <n v="35.64"/>
    <n v="0.09"/>
    <n v="47.81"/>
    <n v="2.763036"/>
    <n v="8.5199999999999998E-2"/>
    <n v="41.17"/>
    <n v="4.47"/>
    <n v="34.136963999999999"/>
  </r>
  <r>
    <x v="55"/>
    <x v="10"/>
    <n v="0"/>
    <x v="55"/>
    <x v="3"/>
    <n v="6"/>
    <x v="17"/>
    <n v="37.229999999999997"/>
    <n v="0.19"/>
    <n v="49.94"/>
    <n v="2.5696319999999999"/>
    <n v="8.5199999999999998E-2"/>
    <n v="43.35"/>
    <n v="5.14"/>
    <n v="32.730367999999999"/>
  </r>
  <r>
    <x v="55"/>
    <x v="10"/>
    <s v="NOVALGINA"/>
    <x v="55"/>
    <x v="0"/>
    <n v="1"/>
    <x v="3"/>
    <n v="37.229999999999997"/>
    <n v="7.0000000000000007E-2"/>
    <n v="49.94"/>
    <n v="2.949624"/>
    <n v="8.5199999999999998E-2"/>
    <n v="43.35"/>
    <n v="4.6500000000000004"/>
    <n v="36.320376000000003"/>
  </r>
  <r>
    <x v="55"/>
    <x v="10"/>
    <s v="NOVALGINA"/>
    <x v="55"/>
    <x v="1"/>
    <n v="3"/>
    <x v="1"/>
    <n v="37.229999999999997"/>
    <n v="0.1"/>
    <n v="49.94"/>
    <n v="2.8550520000000001"/>
    <n v="8.5199999999999998E-2"/>
    <n v="43.35"/>
    <n v="4.7699999999999996"/>
    <n v="35.424948000000001"/>
  </r>
  <r>
    <x v="55"/>
    <x v="10"/>
    <s v="NOVALGINA"/>
    <x v="55"/>
    <x v="2"/>
    <n v="4"/>
    <x v="5"/>
    <n v="37.229999999999997"/>
    <n v="0.11"/>
    <n v="49.94"/>
    <n v="2.822676"/>
    <n v="8.5199999999999998E-2"/>
    <n v="43.35"/>
    <n v="4.8099999999999996"/>
    <n v="35.117324000000004"/>
  </r>
  <r>
    <x v="56"/>
    <x v="10"/>
    <n v="0"/>
    <x v="56"/>
    <x v="3"/>
    <n v="6"/>
    <x v="18"/>
    <n v="13.39"/>
    <n v="0.23"/>
    <n v="17.96"/>
    <n v="0.87841199999999997"/>
    <n v="8.5199999999999998E-2"/>
    <n v="16.09"/>
    <n v="2.0099999999999998"/>
    <n v="11.441587999999999"/>
  </r>
  <r>
    <x v="56"/>
    <x v="10"/>
    <s v="NOVALGINA"/>
    <x v="56"/>
    <x v="0"/>
    <n v="1"/>
    <x v="3"/>
    <n v="13.39"/>
    <n v="7.0000000000000007E-2"/>
    <n v="17.96"/>
    <n v="1.06074"/>
    <n v="8.5199999999999998E-2"/>
    <n v="16.09"/>
    <n v="1.77"/>
    <n v="13.15926"/>
  </r>
  <r>
    <x v="56"/>
    <x v="10"/>
    <s v="NOVALGINA"/>
    <x v="56"/>
    <x v="1"/>
    <n v="3"/>
    <x v="4"/>
    <n v="13.39"/>
    <n v="0.09"/>
    <n v="17.96"/>
    <n v="1.037736"/>
    <n v="8.5199999999999998E-2"/>
    <n v="16.09"/>
    <n v="1.8"/>
    <n v="12.942264"/>
  </r>
  <r>
    <x v="56"/>
    <x v="10"/>
    <s v="NOVALGINA"/>
    <x v="56"/>
    <x v="2"/>
    <n v="4"/>
    <x v="5"/>
    <n v="13.39"/>
    <n v="0.11"/>
    <n v="17.96"/>
    <n v="1.015584"/>
    <n v="8.5199999999999998E-2"/>
    <n v="16.09"/>
    <n v="1.83"/>
    <n v="12.734416"/>
  </r>
  <r>
    <x v="57"/>
    <x v="48"/>
    <n v="1529"/>
    <x v="57"/>
    <x v="3"/>
    <n v="8"/>
    <x v="18"/>
    <n v="24.63"/>
    <n v="0.23"/>
    <n v="33.04"/>
    <n v="1.616244"/>
    <n v="8.5199999999999998E-2"/>
    <n v="29.01"/>
    <n v="3.58"/>
    <n v="20.933755999999999"/>
  </r>
  <r>
    <x v="57"/>
    <x v="48"/>
    <s v="NOVALGINA"/>
    <x v="57"/>
    <x v="0"/>
    <n v="1"/>
    <x v="3"/>
    <n v="24.63"/>
    <n v="7.0000000000000007E-2"/>
    <n v="33.04"/>
    <n v="1.951932"/>
    <n v="8.5199999999999998E-2"/>
    <n v="29.01"/>
    <n v="3.14"/>
    <n v="24.098068000000001"/>
  </r>
  <r>
    <x v="57"/>
    <x v="48"/>
    <s v="NOVALGINA"/>
    <x v="57"/>
    <x v="1"/>
    <n v="3"/>
    <x v="4"/>
    <n v="24.63"/>
    <n v="0.09"/>
    <n v="33.04"/>
    <n v="1.909332"/>
    <n v="8.5199999999999998E-2"/>
    <n v="29.01"/>
    <n v="3.2"/>
    <n v="23.700668"/>
  </r>
  <r>
    <x v="57"/>
    <x v="48"/>
    <s v="NOVALGINA"/>
    <x v="57"/>
    <x v="2"/>
    <n v="6"/>
    <x v="5"/>
    <n v="24.63"/>
    <n v="0.11"/>
    <n v="33.04"/>
    <n v="1.8675839999999999"/>
    <n v="8.5199999999999998E-2"/>
    <n v="29.01"/>
    <n v="3.25"/>
    <n v="23.302416000000001"/>
  </r>
  <r>
    <x v="58"/>
    <x v="49"/>
    <n v="1525"/>
    <x v="58"/>
    <x v="3"/>
    <n v="8"/>
    <x v="9"/>
    <n v="37.229999999999997"/>
    <n v="0.21"/>
    <n v="49.94"/>
    <n v="2.5057320000000001"/>
    <n v="8.5199999999999998E-2"/>
    <n v="42.69"/>
    <n v="5.09"/>
    <n v="31.994268000000002"/>
  </r>
  <r>
    <x v="58"/>
    <x v="49"/>
    <s v="NOVALGINA"/>
    <x v="58"/>
    <x v="4"/>
    <n v="12"/>
    <x v="16"/>
    <n v="37.229999999999997"/>
    <n v="0.28000000000000003"/>
    <n v="49.94"/>
    <n v="2.2842120000000001"/>
    <n v="8.5199999999999998E-2"/>
    <n v="42.69"/>
    <n v="5.38"/>
    <n v="29.905788000000001"/>
  </r>
  <r>
    <x v="58"/>
    <x v="49"/>
    <s v="NOVALGINA"/>
    <x v="58"/>
    <x v="0"/>
    <n v="1"/>
    <x v="0"/>
    <n v="37.229999999999997"/>
    <n v="0.08"/>
    <n v="49.94"/>
    <n v="2.9180999999999999"/>
    <n v="8.5199999999999998E-2"/>
    <n v="42.69"/>
    <n v="4.5599999999999996"/>
    <n v="35.8919"/>
  </r>
  <r>
    <x v="58"/>
    <x v="49"/>
    <s v="NOVALGINA"/>
    <x v="58"/>
    <x v="1"/>
    <n v="3"/>
    <x v="1"/>
    <n v="37.229999999999997"/>
    <n v="0.1"/>
    <n v="49.94"/>
    <n v="2.8550520000000001"/>
    <n v="8.5199999999999998E-2"/>
    <n v="42.69"/>
    <n v="4.6399999999999997"/>
    <n v="35.294947999999998"/>
  </r>
  <r>
    <x v="58"/>
    <x v="49"/>
    <s v="NOVALGINA"/>
    <x v="58"/>
    <x v="2"/>
    <n v="5"/>
    <x v="2"/>
    <n v="37.229999999999997"/>
    <n v="0.12"/>
    <n v="49.94"/>
    <n v="2.7911519999999999"/>
    <n v="8.5199999999999998E-2"/>
    <n v="42.69"/>
    <n v="4.72"/>
    <n v="34.688848"/>
  </r>
  <r>
    <x v="59"/>
    <x v="10"/>
    <s v="TARGIFOR"/>
    <x v="59"/>
    <x v="0"/>
    <n v="1"/>
    <x v="19"/>
    <n v="118.1"/>
    <n v="0.19500000000000001"/>
    <n v="0"/>
    <n v="0"/>
    <n v="0"/>
    <n v="0"/>
    <n v="0"/>
    <n v="95.07"/>
  </r>
  <r>
    <x v="60"/>
    <x v="50"/>
    <s v="TARGIFOR"/>
    <x v="60"/>
    <x v="0"/>
    <n v="1"/>
    <x v="1"/>
    <n v="33.43"/>
    <n v="0.1"/>
    <n v="0"/>
    <n v="0"/>
    <n v="0"/>
    <n v="0"/>
    <n v="0"/>
    <n v="30.09"/>
  </r>
  <r>
    <x v="60"/>
    <x v="50"/>
    <s v="TARGIFOR"/>
    <x v="60"/>
    <x v="1"/>
    <n v="4"/>
    <x v="11"/>
    <n v="33.43"/>
    <n v="0.15"/>
    <n v="0"/>
    <n v="0"/>
    <n v="0"/>
    <n v="0"/>
    <n v="0"/>
    <n v="28.42"/>
  </r>
  <r>
    <x v="60"/>
    <x v="50"/>
    <s v="TARGIFOR"/>
    <x v="60"/>
    <x v="2"/>
    <n v="8"/>
    <x v="20"/>
    <n v="33.43"/>
    <n v="0.2"/>
    <n v="0"/>
    <n v="0"/>
    <n v="0"/>
    <n v="0"/>
    <n v="0"/>
    <n v="26.74"/>
  </r>
  <r>
    <x v="61"/>
    <x v="51"/>
    <s v="TARGIFOR"/>
    <x v="61"/>
    <x v="0"/>
    <n v="1"/>
    <x v="18"/>
    <n v="56.75"/>
    <n v="0.23"/>
    <n v="0"/>
    <n v="0"/>
    <n v="0"/>
    <n v="0"/>
    <n v="0"/>
    <n v="43.7"/>
  </r>
  <r>
    <x v="62"/>
    <x v="10"/>
    <s v="TARGIFOR"/>
    <x v="62"/>
    <x v="0"/>
    <n v="1"/>
    <x v="18"/>
    <n v="102.37"/>
    <n v="0.23"/>
    <n v="0"/>
    <n v="0"/>
    <n v="0"/>
    <n v="0"/>
    <n v="0"/>
    <n v="78.819999999999993"/>
  </r>
  <r>
    <x v="63"/>
    <x v="10"/>
    <s v="TARGIFOR"/>
    <x v="63"/>
    <x v="0"/>
    <n v="1"/>
    <x v="3"/>
    <n v="38.08"/>
    <n v="7.0000000000000007E-2"/>
    <n v="0"/>
    <n v="0"/>
    <n v="0"/>
    <n v="0"/>
    <n v="0"/>
    <n v="35.409999999999997"/>
  </r>
  <r>
    <x v="63"/>
    <x v="10"/>
    <s v="TARGIFOR"/>
    <x v="63"/>
    <x v="1"/>
    <n v="3"/>
    <x v="4"/>
    <n v="38.08"/>
    <n v="0.09"/>
    <n v="0"/>
    <n v="0"/>
    <n v="0"/>
    <n v="0"/>
    <n v="0"/>
    <n v="34.65"/>
  </r>
  <r>
    <x v="63"/>
    <x v="10"/>
    <s v="TARGIFOR"/>
    <x v="63"/>
    <x v="2"/>
    <n v="6"/>
    <x v="2"/>
    <n v="38.08"/>
    <n v="0.12"/>
    <n v="0"/>
    <n v="0"/>
    <n v="0"/>
    <n v="0"/>
    <n v="0"/>
    <n v="33.51"/>
  </r>
  <r>
    <x v="64"/>
    <x v="10"/>
    <s v="TARGIFOR"/>
    <x v="64"/>
    <x v="0"/>
    <n v="1"/>
    <x v="3"/>
    <n v="26.53"/>
    <n v="7.0000000000000007E-2"/>
    <n v="0"/>
    <n v="0"/>
    <n v="0"/>
    <n v="0"/>
    <n v="0"/>
    <n v="24.67"/>
  </r>
  <r>
    <x v="64"/>
    <x v="10"/>
    <s v="TARGIFOR"/>
    <x v="64"/>
    <x v="1"/>
    <n v="3"/>
    <x v="4"/>
    <n v="26.53"/>
    <n v="0.09"/>
    <n v="0"/>
    <n v="0"/>
    <n v="0"/>
    <n v="0"/>
    <n v="0"/>
    <n v="24.14"/>
  </r>
  <r>
    <x v="64"/>
    <x v="10"/>
    <s v="TARGIFOR"/>
    <x v="64"/>
    <x v="2"/>
    <n v="6"/>
    <x v="2"/>
    <n v="26.53"/>
    <n v="0.12"/>
    <n v="0"/>
    <n v="0"/>
    <n v="0"/>
    <n v="0"/>
    <n v="0"/>
    <n v="23.35"/>
  </r>
  <r>
    <x v="65"/>
    <x v="52"/>
    <s v="TARGIFOR"/>
    <x v="65"/>
    <x v="0"/>
    <n v="1"/>
    <x v="4"/>
    <n v="51.84"/>
    <n v="0.09"/>
    <n v="0"/>
    <n v="0"/>
    <n v="0"/>
    <n v="0"/>
    <n v="0"/>
    <n v="47.17"/>
  </r>
  <r>
    <x v="66"/>
    <x v="10"/>
    <s v="TARGIFOR"/>
    <x v="66"/>
    <x v="0"/>
    <n v="1"/>
    <x v="4"/>
    <n v="87.51"/>
    <n v="0.09"/>
    <n v="0"/>
    <n v="0"/>
    <n v="0"/>
    <n v="0"/>
    <n v="0"/>
    <n v="79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73532-D033-4149-8871-0FFF2A3D233F}" name="Tabela dinâmica5" cacheId="3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gridDropZones="1" multipleFieldFilters="0">
  <location ref="A3:R73" firstHeaderRow="1" firstDataRow="3" firstDataCol="3"/>
  <pivotFields count="15">
    <pivotField axis="axisRow" compact="0" numFmtId="1" outline="0" showAll="0" defaultSubtotal="0">
      <items count="67">
        <item x="31"/>
        <item x="57"/>
        <item x="56"/>
        <item x="16"/>
        <item x="33"/>
        <item x="47"/>
        <item x="18"/>
        <item x="17"/>
        <item x="13"/>
        <item x="43"/>
        <item x="42"/>
        <item x="51"/>
        <item x="6"/>
        <item x="2"/>
        <item x="8"/>
        <item x="29"/>
        <item x="28"/>
        <item x="41"/>
        <item x="27"/>
        <item x="0"/>
        <item x="7"/>
        <item x="60"/>
        <item x="25"/>
        <item x="55"/>
        <item x="65"/>
        <item x="66"/>
        <item x="36"/>
        <item x="64"/>
        <item x="63"/>
        <item x="5"/>
        <item x="54"/>
        <item x="53"/>
        <item x="26"/>
        <item x="49"/>
        <item x="48"/>
        <item x="50"/>
        <item x="34"/>
        <item x="35"/>
        <item x="23"/>
        <item x="24"/>
        <item x="21"/>
        <item x="38"/>
        <item x="19"/>
        <item x="32"/>
        <item x="45"/>
        <item x="46"/>
        <item x="12"/>
        <item x="9"/>
        <item x="11"/>
        <item x="15"/>
        <item x="14"/>
        <item x="10"/>
        <item x="40"/>
        <item x="62"/>
        <item x="61"/>
        <item x="22"/>
        <item x="37"/>
        <item x="59"/>
        <item x="44"/>
        <item x="30"/>
        <item x="4"/>
        <item x="1"/>
        <item x="3"/>
        <item x="58"/>
        <item x="52"/>
        <item x="20"/>
        <item x="39"/>
      </items>
    </pivotField>
    <pivotField axis="axisRow" compact="0" numFmtId="1" outline="0" showAll="0" defaultSubtotal="0">
      <items count="53">
        <item x="10"/>
        <item x="28"/>
        <item x="35"/>
        <item x="15"/>
        <item x="14"/>
        <item x="45"/>
        <item x="49"/>
        <item x="48"/>
        <item x="50"/>
        <item x="40"/>
        <item x="16"/>
        <item x="46"/>
        <item x="51"/>
        <item x="11"/>
        <item x="1"/>
        <item x="3"/>
        <item x="4"/>
        <item x="37"/>
        <item x="5"/>
        <item x="12"/>
        <item x="13"/>
        <item x="22"/>
        <item x="47"/>
        <item x="41"/>
        <item x="9"/>
        <item x="6"/>
        <item x="52"/>
        <item x="30"/>
        <item x="42"/>
        <item x="43"/>
        <item x="17"/>
        <item x="34"/>
        <item x="19"/>
        <item x="20"/>
        <item x="36"/>
        <item x="31"/>
        <item x="18"/>
        <item x="26"/>
        <item x="39"/>
        <item x="27"/>
        <item x="44"/>
        <item x="33"/>
        <item x="29"/>
        <item x="0"/>
        <item x="7"/>
        <item x="2"/>
        <item x="38"/>
        <item x="21"/>
        <item x="23"/>
        <item x="25"/>
        <item x="24"/>
        <item x="32"/>
        <item x="8"/>
      </items>
    </pivotField>
    <pivotField compact="0" outline="0" showAll="0" defaultSubtotal="0"/>
    <pivotField axis="axisRow" compact="0" outline="0" showAll="0" defaultSubtotal="0">
      <items count="78">
        <item m="1" x="75"/>
        <item m="1" x="77"/>
        <item m="1" x="76"/>
        <item m="1" x="67"/>
        <item m="1" x="73"/>
        <item m="1" x="68"/>
        <item m="1" x="74"/>
        <item m="1" x="72"/>
        <item m="1" x="69"/>
        <item m="1" x="71"/>
        <item m="1"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Col" compact="0" outline="0" showAll="0" sortType="descending" defaultSubtotal="0">
      <items count="5">
        <item x="2"/>
        <item x="1"/>
        <item x="0"/>
        <item x="4"/>
        <item x="3"/>
      </items>
    </pivotField>
    <pivotField dataField="1" compact="0" outline="0" showAll="0" defaultSubtotal="0"/>
    <pivotField dataField="1" compact="0" numFmtId="9" outline="0" showAll="0" defaultSubtotal="0">
      <items count="21">
        <item x="3"/>
        <item x="0"/>
        <item x="4"/>
        <item x="1"/>
        <item x="5"/>
        <item x="2"/>
        <item x="12"/>
        <item x="11"/>
        <item x="14"/>
        <item x="6"/>
        <item x="10"/>
        <item x="17"/>
        <item x="19"/>
        <item x="20"/>
        <item x="9"/>
        <item x="18"/>
        <item x="15"/>
        <item x="16"/>
        <item x="13"/>
        <item x="7"/>
        <item x="8"/>
      </items>
    </pivotField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</pivotFields>
  <rowFields count="3">
    <field x="0"/>
    <field x="1"/>
    <field x="3"/>
  </rowFields>
  <rowItems count="68">
    <i>
      <x/>
      <x v="39"/>
      <x v="42"/>
    </i>
    <i>
      <x v="1"/>
      <x v="7"/>
      <x v="68"/>
    </i>
    <i>
      <x v="2"/>
      <x/>
      <x v="67"/>
    </i>
    <i>
      <x v="3"/>
      <x v="4"/>
      <x v="27"/>
    </i>
    <i>
      <x v="4"/>
      <x v="42"/>
      <x v="44"/>
    </i>
    <i>
      <x v="5"/>
      <x v="23"/>
      <x v="58"/>
    </i>
    <i>
      <x v="6"/>
      <x/>
      <x v="29"/>
    </i>
    <i>
      <x v="7"/>
      <x v="3"/>
      <x v="28"/>
    </i>
    <i>
      <x v="8"/>
      <x/>
      <x v="24"/>
    </i>
    <i>
      <x v="9"/>
      <x v="46"/>
      <x v="54"/>
    </i>
    <i>
      <x v="10"/>
      <x v="17"/>
      <x v="53"/>
    </i>
    <i>
      <x v="11"/>
      <x v="40"/>
      <x v="62"/>
    </i>
    <i>
      <x v="12"/>
      <x v="25"/>
      <x v="17"/>
    </i>
    <i>
      <x v="13"/>
      <x v="45"/>
      <x v="13"/>
    </i>
    <i>
      <x v="14"/>
      <x v="52"/>
      <x v="19"/>
    </i>
    <i>
      <x v="15"/>
      <x v="49"/>
      <x v="40"/>
    </i>
    <i>
      <x v="16"/>
      <x v="50"/>
      <x v="39"/>
    </i>
    <i>
      <x v="17"/>
      <x/>
      <x v="52"/>
    </i>
    <i>
      <x v="18"/>
      <x v="48"/>
      <x v="38"/>
    </i>
    <i>
      <x v="19"/>
      <x v="43"/>
      <x v="11"/>
    </i>
    <i>
      <x v="20"/>
      <x v="44"/>
      <x v="18"/>
    </i>
    <i>
      <x v="21"/>
      <x v="8"/>
      <x v="71"/>
    </i>
    <i>
      <x v="22"/>
      <x v="47"/>
      <x v="36"/>
    </i>
    <i>
      <x v="23"/>
      <x/>
      <x v="66"/>
    </i>
    <i>
      <x v="24"/>
      <x v="26"/>
      <x v="76"/>
    </i>
    <i>
      <x v="25"/>
      <x/>
      <x v="77"/>
    </i>
    <i>
      <x v="26"/>
      <x v="51"/>
      <x v="47"/>
    </i>
    <i>
      <x v="27"/>
      <x/>
      <x v="75"/>
    </i>
    <i>
      <x v="28"/>
      <x/>
      <x v="74"/>
    </i>
    <i>
      <x v="29"/>
      <x v="18"/>
      <x v="16"/>
    </i>
    <i>
      <x v="30"/>
      <x v="22"/>
      <x v="65"/>
    </i>
    <i>
      <x v="31"/>
      <x v="11"/>
      <x v="64"/>
    </i>
    <i>
      <x v="32"/>
      <x v="21"/>
      <x v="37"/>
    </i>
    <i>
      <x v="33"/>
      <x/>
      <x v="60"/>
    </i>
    <i>
      <x v="34"/>
      <x v="28"/>
      <x v="58"/>
    </i>
    <i r="2">
      <x v="59"/>
    </i>
    <i>
      <x v="35"/>
      <x v="29"/>
      <x v="61"/>
    </i>
    <i>
      <x v="36"/>
      <x v="27"/>
      <x v="45"/>
    </i>
    <i>
      <x v="37"/>
      <x v="35"/>
      <x v="46"/>
    </i>
    <i>
      <x v="38"/>
      <x v="32"/>
      <x v="34"/>
    </i>
    <i>
      <x v="39"/>
      <x v="33"/>
      <x v="35"/>
    </i>
    <i>
      <x v="40"/>
      <x v="30"/>
      <x v="32"/>
    </i>
    <i>
      <x v="41"/>
      <x v="31"/>
      <x v="49"/>
    </i>
    <i>
      <x v="42"/>
      <x v="10"/>
      <x v="30"/>
    </i>
    <i>
      <x v="43"/>
      <x v="1"/>
      <x v="43"/>
    </i>
    <i>
      <x v="44"/>
      <x v="9"/>
      <x v="56"/>
    </i>
    <i>
      <x v="45"/>
      <x/>
      <x v="57"/>
    </i>
    <i>
      <x v="46"/>
      <x v="13"/>
      <x v="23"/>
    </i>
    <i>
      <x v="47"/>
      <x v="24"/>
      <x v="20"/>
    </i>
    <i>
      <x v="48"/>
      <x/>
      <x v="22"/>
    </i>
    <i>
      <x v="49"/>
      <x v="20"/>
      <x v="26"/>
    </i>
    <i>
      <x v="50"/>
      <x v="19"/>
      <x v="25"/>
    </i>
    <i>
      <x v="51"/>
      <x/>
      <x v="21"/>
    </i>
    <i>
      <x v="52"/>
      <x v="34"/>
      <x v="51"/>
    </i>
    <i>
      <x v="53"/>
      <x/>
      <x v="73"/>
    </i>
    <i>
      <x v="54"/>
      <x v="12"/>
      <x v="72"/>
    </i>
    <i>
      <x v="55"/>
      <x v="36"/>
      <x v="33"/>
    </i>
    <i>
      <x v="56"/>
      <x v="41"/>
      <x v="48"/>
    </i>
    <i>
      <x v="57"/>
      <x/>
      <x v="70"/>
    </i>
    <i>
      <x v="58"/>
      <x v="38"/>
      <x v="55"/>
    </i>
    <i>
      <x v="59"/>
      <x v="37"/>
      <x v="41"/>
    </i>
    <i>
      <x v="60"/>
      <x v="16"/>
      <x v="15"/>
    </i>
    <i>
      <x v="61"/>
      <x v="14"/>
      <x v="12"/>
    </i>
    <i>
      <x v="62"/>
      <x v="15"/>
      <x v="14"/>
    </i>
    <i>
      <x v="63"/>
      <x v="6"/>
      <x v="69"/>
    </i>
    <i>
      <x v="64"/>
      <x v="5"/>
      <x v="63"/>
    </i>
    <i>
      <x v="65"/>
      <x/>
      <x v="31"/>
    </i>
    <i>
      <x v="66"/>
      <x v="2"/>
      <x v="50"/>
    </i>
  </rowItems>
  <colFields count="2">
    <field x="4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</colItems>
  <dataFields count="3">
    <dataField name="Soma de QTD MÍNIMA" fld="5" baseField="0" baseItem="0"/>
    <dataField name="Soma de DESCONTO" fld="6" baseField="0" baseItem="0" numFmtId="9"/>
    <dataField name="Soma de Preço Final" fld="1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774F-A966-4C9F-AC09-5A20E836717B}">
  <sheetPr codeName="Planilha1"/>
  <dimension ref="A3:R73"/>
  <sheetViews>
    <sheetView workbookViewId="0">
      <selection activeCell="C9" sqref="C9"/>
    </sheetView>
  </sheetViews>
  <sheetFormatPr defaultRowHeight="15" x14ac:dyDescent="0.25"/>
  <cols>
    <col min="1" max="1" width="18.7109375" customWidth="1"/>
    <col min="2" max="2" width="9.28515625" customWidth="1"/>
    <col min="3" max="3" width="41.5703125" bestFit="1" customWidth="1"/>
    <col min="4" max="37" width="19.140625" bestFit="1" customWidth="1"/>
  </cols>
  <sheetData>
    <row r="3" spans="1:18" x14ac:dyDescent="0.25">
      <c r="D3" s="10" t="s">
        <v>3</v>
      </c>
      <c r="E3" s="10" t="s">
        <v>103</v>
      </c>
    </row>
    <row r="4" spans="1:18" x14ac:dyDescent="0.25">
      <c r="D4" t="s">
        <v>99</v>
      </c>
      <c r="G4" t="s">
        <v>98</v>
      </c>
      <c r="J4" t="s">
        <v>27</v>
      </c>
      <c r="M4" t="s">
        <v>17</v>
      </c>
      <c r="P4" t="s">
        <v>14</v>
      </c>
    </row>
    <row r="5" spans="1:18" x14ac:dyDescent="0.25">
      <c r="A5" s="10" t="s">
        <v>0</v>
      </c>
      <c r="B5" s="10" t="s">
        <v>104</v>
      </c>
      <c r="C5" s="10" t="s">
        <v>2</v>
      </c>
      <c r="D5" t="s">
        <v>100</v>
      </c>
      <c r="E5" t="s">
        <v>101</v>
      </c>
      <c r="F5" t="s">
        <v>102</v>
      </c>
      <c r="G5" t="s">
        <v>100</v>
      </c>
      <c r="H5" t="s">
        <v>101</v>
      </c>
      <c r="I5" t="s">
        <v>102</v>
      </c>
      <c r="J5" t="s">
        <v>100</v>
      </c>
      <c r="K5" t="s">
        <v>101</v>
      </c>
      <c r="L5" t="s">
        <v>102</v>
      </c>
      <c r="M5" t="s">
        <v>100</v>
      </c>
      <c r="N5" t="s">
        <v>101</v>
      </c>
      <c r="O5" t="s">
        <v>102</v>
      </c>
      <c r="P5" t="s">
        <v>100</v>
      </c>
      <c r="Q5" t="s">
        <v>101</v>
      </c>
      <c r="R5" t="s">
        <v>102</v>
      </c>
    </row>
    <row r="6" spans="1:18" x14ac:dyDescent="0.25">
      <c r="A6" s="1">
        <v>7891058000103</v>
      </c>
      <c r="B6" s="1">
        <v>51973</v>
      </c>
      <c r="C6" t="s">
        <v>56</v>
      </c>
      <c r="D6">
        <v>4</v>
      </c>
      <c r="E6" s="11">
        <v>0.12</v>
      </c>
      <c r="F6" s="7">
        <v>22.230799999999999</v>
      </c>
      <c r="G6">
        <v>3</v>
      </c>
      <c r="H6" s="11">
        <v>0.11</v>
      </c>
      <c r="I6" s="7">
        <v>22.430351999999999</v>
      </c>
      <c r="J6">
        <v>1</v>
      </c>
      <c r="K6" s="11">
        <v>7.0000000000000007E-2</v>
      </c>
      <c r="L6" s="7">
        <v>23.189412000000001</v>
      </c>
      <c r="N6" s="11"/>
      <c r="O6" s="7"/>
      <c r="Q6" s="11"/>
      <c r="R6" s="7"/>
    </row>
    <row r="7" spans="1:18" x14ac:dyDescent="0.25">
      <c r="A7" s="1">
        <v>7891058000165</v>
      </c>
      <c r="B7" s="1">
        <v>1529</v>
      </c>
      <c r="C7" t="s">
        <v>95</v>
      </c>
      <c r="D7">
        <v>6</v>
      </c>
      <c r="E7" s="11">
        <v>0.11</v>
      </c>
      <c r="F7" s="7">
        <v>23.302416000000001</v>
      </c>
      <c r="G7">
        <v>3</v>
      </c>
      <c r="H7" s="11">
        <v>0.09</v>
      </c>
      <c r="I7" s="7">
        <v>23.700668</v>
      </c>
      <c r="J7">
        <v>1</v>
      </c>
      <c r="K7" s="11">
        <v>7.0000000000000007E-2</v>
      </c>
      <c r="L7" s="7">
        <v>24.098068000000001</v>
      </c>
      <c r="N7" s="11"/>
      <c r="O7" s="7"/>
      <c r="P7">
        <v>8</v>
      </c>
      <c r="Q7" s="11">
        <v>0.23</v>
      </c>
      <c r="R7" s="7">
        <v>20.933755999999999</v>
      </c>
    </row>
    <row r="8" spans="1:18" x14ac:dyDescent="0.25">
      <c r="A8" s="1">
        <v>7891058000172</v>
      </c>
      <c r="B8" s="1">
        <v>0</v>
      </c>
      <c r="C8" t="s">
        <v>75</v>
      </c>
      <c r="D8">
        <v>4</v>
      </c>
      <c r="E8" s="11">
        <v>0.11</v>
      </c>
      <c r="F8" s="7">
        <v>12.734416</v>
      </c>
      <c r="G8">
        <v>3</v>
      </c>
      <c r="H8" s="11">
        <v>0.09</v>
      </c>
      <c r="I8" s="7">
        <v>12.942264</v>
      </c>
      <c r="J8">
        <v>1</v>
      </c>
      <c r="K8" s="11">
        <v>7.0000000000000007E-2</v>
      </c>
      <c r="L8" s="7">
        <v>13.15926</v>
      </c>
      <c r="N8" s="11"/>
      <c r="O8" s="7"/>
      <c r="P8">
        <v>6</v>
      </c>
      <c r="Q8" s="11">
        <v>0.23</v>
      </c>
      <c r="R8" s="7">
        <v>11.441587999999999</v>
      </c>
    </row>
    <row r="9" spans="1:18" x14ac:dyDescent="0.25">
      <c r="A9" s="1">
        <v>7891058000295</v>
      </c>
      <c r="B9" s="1">
        <v>1362</v>
      </c>
      <c r="C9" t="s">
        <v>45</v>
      </c>
      <c r="D9">
        <v>4</v>
      </c>
      <c r="E9" s="11">
        <v>0.11</v>
      </c>
      <c r="F9" s="7">
        <v>26.89</v>
      </c>
      <c r="G9">
        <v>3</v>
      </c>
      <c r="H9" s="11">
        <v>0.09</v>
      </c>
      <c r="I9" s="7">
        <v>27.49</v>
      </c>
      <c r="J9">
        <v>1</v>
      </c>
      <c r="K9" s="11">
        <v>7.0000000000000007E-2</v>
      </c>
      <c r="L9" s="7">
        <v>13.057779999999999</v>
      </c>
      <c r="N9" s="11"/>
      <c r="O9" s="7"/>
      <c r="Q9" s="11"/>
      <c r="R9" s="7"/>
    </row>
    <row r="10" spans="1:18" x14ac:dyDescent="0.25">
      <c r="A10" s="1">
        <v>7891058001032</v>
      </c>
      <c r="B10" s="1">
        <v>55277</v>
      </c>
      <c r="C10" t="s">
        <v>59</v>
      </c>
      <c r="E10" s="11"/>
      <c r="F10" s="7"/>
      <c r="H10" s="11"/>
      <c r="I10" s="7"/>
      <c r="J10">
        <v>1</v>
      </c>
      <c r="K10" s="11">
        <v>0.09</v>
      </c>
      <c r="L10" s="7">
        <v>28.814039999999999</v>
      </c>
      <c r="N10" s="11"/>
      <c r="O10" s="7"/>
      <c r="Q10" s="11"/>
      <c r="R10" s="7"/>
    </row>
    <row r="11" spans="1:18" x14ac:dyDescent="0.25">
      <c r="A11" s="1">
        <v>7891058001155</v>
      </c>
      <c r="B11" s="1">
        <v>20513</v>
      </c>
      <c r="C11" t="s">
        <v>23</v>
      </c>
      <c r="D11">
        <v>12</v>
      </c>
      <c r="E11" s="11">
        <v>0.12</v>
      </c>
      <c r="F11" s="7">
        <v>18.184560000000001</v>
      </c>
      <c r="G11">
        <v>6</v>
      </c>
      <c r="H11" s="11">
        <v>0.1</v>
      </c>
      <c r="I11" s="7">
        <v>18.501332000000001</v>
      </c>
      <c r="J11">
        <v>1</v>
      </c>
      <c r="K11" s="11">
        <v>0.08</v>
      </c>
      <c r="L11" s="7">
        <v>18.817252</v>
      </c>
      <c r="M11">
        <v>40</v>
      </c>
      <c r="N11" s="11">
        <v>0.23</v>
      </c>
      <c r="O11" s="7">
        <v>16.457740000000001</v>
      </c>
      <c r="P11">
        <v>24</v>
      </c>
      <c r="Q11" s="11">
        <v>0.19</v>
      </c>
      <c r="R11" s="7">
        <v>17.090432</v>
      </c>
    </row>
    <row r="12" spans="1:18" x14ac:dyDescent="0.25">
      <c r="A12" s="1">
        <v>7891058001520</v>
      </c>
      <c r="B12" s="1">
        <v>0</v>
      </c>
      <c r="C12" t="s">
        <v>47</v>
      </c>
      <c r="D12">
        <v>4</v>
      </c>
      <c r="E12" s="11">
        <v>0.11</v>
      </c>
      <c r="F12" s="7">
        <v>13.44</v>
      </c>
      <c r="G12">
        <v>3</v>
      </c>
      <c r="H12" s="11">
        <v>0.09</v>
      </c>
      <c r="I12" s="7">
        <v>13.74</v>
      </c>
      <c r="J12">
        <v>1</v>
      </c>
      <c r="K12" s="11">
        <v>7.0000000000000007E-2</v>
      </c>
      <c r="L12" s="7">
        <v>34.99</v>
      </c>
      <c r="N12" s="11"/>
      <c r="O12" s="7"/>
      <c r="Q12" s="11"/>
      <c r="R12" s="7"/>
    </row>
    <row r="13" spans="1:18" x14ac:dyDescent="0.25">
      <c r="A13" s="1">
        <v>7891058001643</v>
      </c>
      <c r="B13" s="1">
        <v>1349</v>
      </c>
      <c r="C13" t="s">
        <v>46</v>
      </c>
      <c r="D13">
        <v>4</v>
      </c>
      <c r="E13" s="11">
        <v>0.11</v>
      </c>
      <c r="F13" s="7">
        <v>15.1</v>
      </c>
      <c r="G13">
        <v>3</v>
      </c>
      <c r="H13" s="11">
        <v>0.09</v>
      </c>
      <c r="I13" s="7">
        <v>15.44</v>
      </c>
      <c r="J13">
        <v>1</v>
      </c>
      <c r="K13" s="11">
        <v>7.0000000000000007E-2</v>
      </c>
      <c r="L13" s="7">
        <v>14.392760000000001</v>
      </c>
      <c r="N13" s="11"/>
      <c r="O13" s="7"/>
      <c r="Q13" s="11"/>
      <c r="R13" s="7"/>
    </row>
    <row r="14" spans="1:18" x14ac:dyDescent="0.25">
      <c r="A14" s="1">
        <v>7891058001810</v>
      </c>
      <c r="B14" s="1">
        <v>0</v>
      </c>
      <c r="C14" t="s">
        <v>41</v>
      </c>
      <c r="E14" s="11"/>
      <c r="F14" s="7"/>
      <c r="H14" s="11"/>
      <c r="I14" s="7"/>
      <c r="J14">
        <v>1</v>
      </c>
      <c r="K14" s="11">
        <v>0.18</v>
      </c>
      <c r="L14" s="7">
        <v>17.995816000000001</v>
      </c>
      <c r="N14" s="11"/>
      <c r="O14" s="7"/>
      <c r="Q14" s="11"/>
      <c r="R14" s="7"/>
    </row>
    <row r="15" spans="1:18" x14ac:dyDescent="0.25">
      <c r="A15" s="1">
        <v>7891058002336</v>
      </c>
      <c r="B15" s="1">
        <v>56395</v>
      </c>
      <c r="C15" t="s">
        <v>64</v>
      </c>
      <c r="E15" s="11"/>
      <c r="F15" s="7"/>
      <c r="H15" s="11"/>
      <c r="I15" s="7"/>
      <c r="J15">
        <v>1</v>
      </c>
      <c r="K15" s="11">
        <v>0.09</v>
      </c>
      <c r="L15" s="7">
        <v>97.72</v>
      </c>
      <c r="N15" s="11"/>
      <c r="O15" s="7"/>
      <c r="Q15" s="11"/>
      <c r="R15" s="7"/>
    </row>
    <row r="16" spans="1:18" x14ac:dyDescent="0.25">
      <c r="A16" s="1">
        <v>7891058002343</v>
      </c>
      <c r="B16" s="1">
        <v>6647</v>
      </c>
      <c r="C16" t="s">
        <v>92</v>
      </c>
      <c r="E16" s="11"/>
      <c r="F16" s="7"/>
      <c r="H16" s="11"/>
      <c r="I16" s="7"/>
      <c r="J16">
        <v>1</v>
      </c>
      <c r="K16" s="11">
        <v>0.09</v>
      </c>
      <c r="L16" s="7">
        <v>92.5</v>
      </c>
      <c r="N16" s="11"/>
      <c r="O16" s="7"/>
      <c r="Q16" s="11"/>
      <c r="R16" s="7"/>
    </row>
    <row r="17" spans="1:18" x14ac:dyDescent="0.25">
      <c r="A17" s="1">
        <v>7891058002565</v>
      </c>
      <c r="B17" s="1">
        <v>54625</v>
      </c>
      <c r="C17" t="s">
        <v>93</v>
      </c>
      <c r="D17">
        <v>6</v>
      </c>
      <c r="E17" s="11">
        <v>0.11</v>
      </c>
      <c r="F17" s="7">
        <v>33.343195999999999</v>
      </c>
      <c r="G17">
        <v>4</v>
      </c>
      <c r="H17" s="11">
        <v>0.09</v>
      </c>
      <c r="I17" s="7">
        <v>33.921852000000001</v>
      </c>
      <c r="J17">
        <v>1</v>
      </c>
      <c r="K17" s="11">
        <v>7.0000000000000007E-2</v>
      </c>
      <c r="L17" s="7">
        <v>34.501359999999998</v>
      </c>
      <c r="N17" s="11"/>
      <c r="O17" s="7"/>
      <c r="Q17" s="11"/>
      <c r="R17" s="7"/>
    </row>
    <row r="18" spans="1:18" x14ac:dyDescent="0.25">
      <c r="A18" s="1">
        <v>7891058002589</v>
      </c>
      <c r="B18" s="1">
        <v>30730</v>
      </c>
      <c r="C18" t="s">
        <v>33</v>
      </c>
      <c r="D18">
        <v>6</v>
      </c>
      <c r="E18" s="11">
        <v>0.11</v>
      </c>
      <c r="F18" s="7">
        <v>29.01108</v>
      </c>
      <c r="G18">
        <v>3</v>
      </c>
      <c r="H18" s="11">
        <v>0.09</v>
      </c>
      <c r="I18" s="7">
        <v>29.499108</v>
      </c>
      <c r="J18">
        <v>1</v>
      </c>
      <c r="K18" s="11">
        <v>7.0000000000000007E-2</v>
      </c>
      <c r="L18" s="7">
        <v>29.987136</v>
      </c>
      <c r="N18" s="11"/>
      <c r="O18" s="7"/>
      <c r="Q18" s="11"/>
      <c r="R18" s="7"/>
    </row>
    <row r="19" spans="1:18" x14ac:dyDescent="0.25">
      <c r="A19" s="1">
        <v>7891058002596</v>
      </c>
      <c r="B19" s="1">
        <v>56332</v>
      </c>
      <c r="C19" t="s">
        <v>29</v>
      </c>
      <c r="E19" s="11"/>
      <c r="F19" s="7"/>
      <c r="H19" s="11"/>
      <c r="I19" s="7"/>
      <c r="J19">
        <v>1</v>
      </c>
      <c r="K19" s="11">
        <v>0.1</v>
      </c>
      <c r="L19" s="7">
        <v>14.230696</v>
      </c>
      <c r="N19" s="11"/>
      <c r="O19" s="7"/>
      <c r="Q19" s="11"/>
      <c r="R19" s="7"/>
    </row>
    <row r="20" spans="1:18" x14ac:dyDescent="0.25">
      <c r="A20" s="1">
        <v>7891058003890</v>
      </c>
      <c r="B20" s="1">
        <v>61328</v>
      </c>
      <c r="C20" t="s">
        <v>36</v>
      </c>
      <c r="D20">
        <v>120</v>
      </c>
      <c r="E20" s="11">
        <v>0.45</v>
      </c>
      <c r="F20" s="7">
        <v>8.5242280000000008</v>
      </c>
      <c r="G20">
        <v>60</v>
      </c>
      <c r="H20" s="11">
        <v>0.35</v>
      </c>
      <c r="I20" s="7">
        <v>9.5643200000000004</v>
      </c>
      <c r="J20">
        <v>1</v>
      </c>
      <c r="K20" s="11">
        <v>0.17</v>
      </c>
      <c r="L20" s="7">
        <v>11.426655999999999</v>
      </c>
      <c r="N20" s="11"/>
      <c r="O20" s="7"/>
      <c r="Q20" s="11"/>
      <c r="R20" s="7"/>
    </row>
    <row r="21" spans="1:18" x14ac:dyDescent="0.25">
      <c r="A21" s="1">
        <v>7891058003937</v>
      </c>
      <c r="B21" s="1">
        <v>57352</v>
      </c>
      <c r="C21" t="s">
        <v>55</v>
      </c>
      <c r="E21" s="11"/>
      <c r="F21" s="7"/>
      <c r="H21" s="11"/>
      <c r="I21" s="7"/>
      <c r="J21">
        <v>1</v>
      </c>
      <c r="K21" s="11">
        <v>0.1</v>
      </c>
      <c r="L21" s="7">
        <v>123.552888</v>
      </c>
      <c r="N21" s="11"/>
      <c r="O21" s="7"/>
      <c r="Q21" s="11"/>
      <c r="R21" s="7"/>
    </row>
    <row r="22" spans="1:18" x14ac:dyDescent="0.25">
      <c r="A22" s="1">
        <v>7891058003944</v>
      </c>
      <c r="B22" s="1">
        <v>57353</v>
      </c>
      <c r="C22" t="s">
        <v>89</v>
      </c>
      <c r="D22">
        <v>8</v>
      </c>
      <c r="E22" s="11">
        <v>0.16</v>
      </c>
      <c r="F22" s="7">
        <v>12.189795999999999</v>
      </c>
      <c r="G22">
        <v>4</v>
      </c>
      <c r="H22" s="11">
        <v>0.13</v>
      </c>
      <c r="I22" s="7">
        <v>12.524864000000001</v>
      </c>
      <c r="J22">
        <v>1</v>
      </c>
      <c r="K22" s="11">
        <v>0.08</v>
      </c>
      <c r="L22" s="7">
        <v>13.057779999999999</v>
      </c>
      <c r="N22" s="11"/>
      <c r="O22" s="7"/>
      <c r="Q22" s="11"/>
      <c r="R22" s="7"/>
    </row>
    <row r="23" spans="1:18" x14ac:dyDescent="0.25">
      <c r="A23" s="1">
        <v>7891058003968</v>
      </c>
      <c r="B23" s="1">
        <v>0</v>
      </c>
      <c r="C23" t="s">
        <v>63</v>
      </c>
      <c r="E23" s="11"/>
      <c r="F23" s="7"/>
      <c r="H23" s="11"/>
      <c r="I23" s="7"/>
      <c r="J23">
        <v>1</v>
      </c>
      <c r="K23" s="11">
        <v>0.28000000000000003</v>
      </c>
      <c r="L23" s="7">
        <v>137.78</v>
      </c>
      <c r="N23" s="11"/>
      <c r="O23" s="7"/>
      <c r="Q23" s="11"/>
      <c r="R23" s="7"/>
    </row>
    <row r="24" spans="1:18" x14ac:dyDescent="0.25">
      <c r="A24" s="1">
        <v>7891058003975</v>
      </c>
      <c r="B24" s="1">
        <v>57351</v>
      </c>
      <c r="C24" t="s">
        <v>88</v>
      </c>
      <c r="D24">
        <v>4</v>
      </c>
      <c r="E24" s="11">
        <v>0.16</v>
      </c>
      <c r="F24" s="7">
        <v>21.797032000000002</v>
      </c>
      <c r="G24">
        <v>3</v>
      </c>
      <c r="H24" s="11">
        <v>0.13</v>
      </c>
      <c r="I24" s="7">
        <v>22.375688</v>
      </c>
      <c r="J24">
        <v>1</v>
      </c>
      <c r="K24" s="11">
        <v>0.08</v>
      </c>
      <c r="L24" s="7">
        <v>23.352595999999998</v>
      </c>
      <c r="N24" s="11"/>
      <c r="O24" s="7"/>
      <c r="Q24" s="11"/>
      <c r="R24" s="7"/>
    </row>
    <row r="25" spans="1:18" x14ac:dyDescent="0.25">
      <c r="A25" s="1">
        <v>7891058004347</v>
      </c>
      <c r="B25" s="1">
        <v>56314</v>
      </c>
      <c r="C25" t="s">
        <v>26</v>
      </c>
      <c r="D25">
        <v>6</v>
      </c>
      <c r="E25" s="11">
        <v>0.12</v>
      </c>
      <c r="F25" s="7">
        <v>28.54664</v>
      </c>
      <c r="G25">
        <v>3</v>
      </c>
      <c r="H25" s="11">
        <v>0.1</v>
      </c>
      <c r="I25" s="7">
        <v>29.034668</v>
      </c>
      <c r="J25">
        <v>1</v>
      </c>
      <c r="K25" s="11">
        <v>0.08</v>
      </c>
      <c r="L25" s="7">
        <v>29.523548000000002</v>
      </c>
      <c r="N25" s="11"/>
      <c r="O25" s="7"/>
      <c r="Q25" s="11"/>
      <c r="R25" s="7"/>
    </row>
    <row r="26" spans="1:18" x14ac:dyDescent="0.25">
      <c r="A26" s="1">
        <v>7891058004354</v>
      </c>
      <c r="B26" s="1">
        <v>56315</v>
      </c>
      <c r="C26" t="s">
        <v>34</v>
      </c>
      <c r="D26">
        <v>4</v>
      </c>
      <c r="E26" s="11">
        <v>0.12</v>
      </c>
      <c r="F26" s="7">
        <v>64.667283999999995</v>
      </c>
      <c r="G26">
        <v>3</v>
      </c>
      <c r="H26" s="11">
        <v>0.1</v>
      </c>
      <c r="I26" s="7">
        <v>65.788855999999996</v>
      </c>
      <c r="J26">
        <v>1</v>
      </c>
      <c r="K26" s="11">
        <v>0.08</v>
      </c>
      <c r="L26" s="7">
        <v>66.90128</v>
      </c>
      <c r="N26" s="11"/>
      <c r="O26" s="7"/>
      <c r="Q26" s="11"/>
      <c r="R26" s="7"/>
    </row>
    <row r="27" spans="1:18" x14ac:dyDescent="0.25">
      <c r="A27" s="1">
        <v>7891058005467</v>
      </c>
      <c r="B27" s="1">
        <v>1850</v>
      </c>
      <c r="C27" t="s">
        <v>77</v>
      </c>
      <c r="D27">
        <v>8</v>
      </c>
      <c r="E27" s="11">
        <v>0.2</v>
      </c>
      <c r="F27" s="7">
        <v>26.74</v>
      </c>
      <c r="G27">
        <v>4</v>
      </c>
      <c r="H27" s="11">
        <v>0.15</v>
      </c>
      <c r="I27" s="7">
        <v>28.42</v>
      </c>
      <c r="J27">
        <v>1</v>
      </c>
      <c r="K27" s="11">
        <v>0.1</v>
      </c>
      <c r="L27" s="7">
        <v>30.09</v>
      </c>
      <c r="N27" s="11"/>
      <c r="O27" s="7"/>
      <c r="Q27" s="11"/>
      <c r="R27" s="7"/>
    </row>
    <row r="28" spans="1:18" x14ac:dyDescent="0.25">
      <c r="A28" s="1">
        <v>7891058005474</v>
      </c>
      <c r="B28" s="1">
        <v>56662</v>
      </c>
      <c r="C28" t="s">
        <v>87</v>
      </c>
      <c r="D28">
        <v>20</v>
      </c>
      <c r="E28" s="11">
        <v>0.45</v>
      </c>
      <c r="F28" s="7">
        <v>8.2897440000000007</v>
      </c>
      <c r="G28">
        <v>10</v>
      </c>
      <c r="H28" s="11">
        <v>0.3</v>
      </c>
      <c r="I28" s="7">
        <v>9.8810479999999998</v>
      </c>
      <c r="J28">
        <v>1</v>
      </c>
      <c r="K28" s="11">
        <v>0.12</v>
      </c>
      <c r="L28" s="7">
        <v>11.798272000000001</v>
      </c>
      <c r="N28" s="11"/>
      <c r="O28" s="7"/>
      <c r="Q28" s="11"/>
      <c r="R28" s="7"/>
    </row>
    <row r="29" spans="1:18" x14ac:dyDescent="0.25">
      <c r="A29" s="1">
        <v>7891058005566</v>
      </c>
      <c r="B29" s="1">
        <v>0</v>
      </c>
      <c r="C29" t="s">
        <v>94</v>
      </c>
      <c r="D29">
        <v>4</v>
      </c>
      <c r="E29" s="11">
        <v>0.11</v>
      </c>
      <c r="F29" s="7">
        <v>35.117324000000004</v>
      </c>
      <c r="G29">
        <v>3</v>
      </c>
      <c r="H29" s="11">
        <v>0.1</v>
      </c>
      <c r="I29" s="7">
        <v>35.424948000000001</v>
      </c>
      <c r="J29">
        <v>1</v>
      </c>
      <c r="K29" s="11">
        <v>7.0000000000000007E-2</v>
      </c>
      <c r="L29" s="7">
        <v>36.320376000000003</v>
      </c>
      <c r="N29" s="11"/>
      <c r="O29" s="7"/>
      <c r="P29">
        <v>6</v>
      </c>
      <c r="Q29" s="11">
        <v>0.19</v>
      </c>
      <c r="R29" s="7">
        <v>32.730367999999999</v>
      </c>
    </row>
    <row r="30" spans="1:18" x14ac:dyDescent="0.25">
      <c r="A30" s="1">
        <v>7891058005870</v>
      </c>
      <c r="B30" s="1">
        <v>33463</v>
      </c>
      <c r="C30" t="s">
        <v>81</v>
      </c>
      <c r="E30" s="11"/>
      <c r="F30" s="7"/>
      <c r="H30" s="11"/>
      <c r="I30" s="7"/>
      <c r="J30">
        <v>1</v>
      </c>
      <c r="K30" s="11">
        <v>0.09</v>
      </c>
      <c r="L30" s="7">
        <v>47.17</v>
      </c>
      <c r="N30" s="11"/>
      <c r="O30" s="7"/>
      <c r="Q30" s="11"/>
      <c r="R30" s="7"/>
    </row>
    <row r="31" spans="1:18" x14ac:dyDescent="0.25">
      <c r="A31" s="1">
        <v>7891058005887</v>
      </c>
      <c r="B31" s="1">
        <v>0</v>
      </c>
      <c r="C31" t="s">
        <v>97</v>
      </c>
      <c r="E31" s="11"/>
      <c r="F31" s="7"/>
      <c r="H31" s="11"/>
      <c r="I31" s="7"/>
      <c r="J31">
        <v>1</v>
      </c>
      <c r="K31" s="11">
        <v>0.09</v>
      </c>
      <c r="L31" s="7">
        <v>79.63</v>
      </c>
      <c r="N31" s="11"/>
      <c r="O31" s="7"/>
      <c r="Q31" s="11"/>
      <c r="R31" s="7"/>
    </row>
    <row r="32" spans="1:18" x14ac:dyDescent="0.25">
      <c r="A32" s="1">
        <v>7891058006501</v>
      </c>
      <c r="B32" s="1">
        <v>61315</v>
      </c>
      <c r="C32" t="s">
        <v>19</v>
      </c>
      <c r="D32">
        <v>4</v>
      </c>
      <c r="E32" s="11">
        <v>0.17</v>
      </c>
      <c r="F32" s="7">
        <v>24.66</v>
      </c>
      <c r="G32">
        <v>3</v>
      </c>
      <c r="H32" s="11">
        <v>0.15</v>
      </c>
      <c r="I32" s="7">
        <v>25.25</v>
      </c>
      <c r="J32">
        <v>1</v>
      </c>
      <c r="K32" s="11">
        <v>0.11</v>
      </c>
      <c r="L32" s="7">
        <v>26.44</v>
      </c>
      <c r="M32">
        <v>15</v>
      </c>
      <c r="N32" s="11">
        <v>0.3</v>
      </c>
      <c r="O32" s="7">
        <v>20.8</v>
      </c>
      <c r="P32">
        <v>10</v>
      </c>
      <c r="Q32" s="11">
        <v>0.26</v>
      </c>
      <c r="R32" s="7">
        <v>21.99</v>
      </c>
    </row>
    <row r="33" spans="1:18" x14ac:dyDescent="0.25">
      <c r="A33" s="1">
        <v>7891058006518</v>
      </c>
      <c r="B33" s="1">
        <v>0</v>
      </c>
      <c r="C33" t="s">
        <v>80</v>
      </c>
      <c r="D33">
        <v>6</v>
      </c>
      <c r="E33" s="11">
        <v>0.12</v>
      </c>
      <c r="F33" s="7">
        <v>23.35</v>
      </c>
      <c r="G33">
        <v>3</v>
      </c>
      <c r="H33" s="11">
        <v>0.09</v>
      </c>
      <c r="I33" s="7">
        <v>24.14</v>
      </c>
      <c r="J33">
        <v>1</v>
      </c>
      <c r="K33" s="11">
        <v>7.0000000000000007E-2</v>
      </c>
      <c r="L33" s="7">
        <v>24.67</v>
      </c>
      <c r="N33" s="11"/>
      <c r="O33" s="7"/>
      <c r="Q33" s="11"/>
      <c r="R33" s="7"/>
    </row>
    <row r="34" spans="1:18" x14ac:dyDescent="0.25">
      <c r="A34" s="1">
        <v>7891058006525</v>
      </c>
      <c r="B34" s="1">
        <v>0</v>
      </c>
      <c r="C34" t="s">
        <v>79</v>
      </c>
      <c r="D34">
        <v>6</v>
      </c>
      <c r="E34" s="11">
        <v>0.12</v>
      </c>
      <c r="F34" s="7">
        <v>33.51</v>
      </c>
      <c r="G34">
        <v>3</v>
      </c>
      <c r="H34" s="11">
        <v>0.09</v>
      </c>
      <c r="I34" s="7">
        <v>34.65</v>
      </c>
      <c r="J34">
        <v>1</v>
      </c>
      <c r="K34" s="11">
        <v>7.0000000000000007E-2</v>
      </c>
      <c r="L34" s="7">
        <v>35.409999999999997</v>
      </c>
      <c r="N34" s="11"/>
      <c r="O34" s="7"/>
      <c r="Q34" s="11"/>
      <c r="R34" s="7"/>
    </row>
    <row r="35" spans="1:18" x14ac:dyDescent="0.25">
      <c r="A35" s="1">
        <v>7891058006716</v>
      </c>
      <c r="B35" s="1">
        <v>6825</v>
      </c>
      <c r="C35" t="s">
        <v>32</v>
      </c>
      <c r="D35">
        <v>3</v>
      </c>
      <c r="E35" s="11">
        <v>0.11</v>
      </c>
      <c r="F35" s="7">
        <v>52.159640000000003</v>
      </c>
      <c r="G35">
        <v>2</v>
      </c>
      <c r="H35" s="11">
        <v>0.09</v>
      </c>
      <c r="I35" s="7">
        <v>53.045920000000002</v>
      </c>
      <c r="J35">
        <v>1</v>
      </c>
      <c r="K35" s="11">
        <v>7.0000000000000007E-2</v>
      </c>
      <c r="L35" s="7">
        <v>53.941347999999998</v>
      </c>
      <c r="N35" s="11"/>
      <c r="O35" s="7"/>
      <c r="Q35" s="11"/>
      <c r="R35" s="7"/>
    </row>
    <row r="36" spans="1:18" x14ac:dyDescent="0.25">
      <c r="A36" s="1">
        <v>7891058008635</v>
      </c>
      <c r="B36" s="1">
        <v>10671</v>
      </c>
      <c r="C36" t="s">
        <v>74</v>
      </c>
      <c r="E36" s="11"/>
      <c r="F36" s="7"/>
      <c r="H36" s="11"/>
      <c r="I36" s="7"/>
      <c r="J36">
        <v>1</v>
      </c>
      <c r="K36" s="11">
        <v>0.09</v>
      </c>
      <c r="L36" s="7">
        <v>34.136963999999999</v>
      </c>
      <c r="N36" s="11"/>
      <c r="O36" s="7"/>
      <c r="Q36" s="11"/>
      <c r="R36" s="7"/>
    </row>
    <row r="37" spans="1:18" x14ac:dyDescent="0.25">
      <c r="A37" s="1">
        <v>7891058008642</v>
      </c>
      <c r="B37" s="1">
        <v>3140</v>
      </c>
      <c r="C37" t="s">
        <v>73</v>
      </c>
      <c r="E37" s="11"/>
      <c r="F37" s="7"/>
      <c r="H37" s="11"/>
      <c r="I37" s="7"/>
      <c r="J37">
        <v>1</v>
      </c>
      <c r="K37" s="11">
        <v>0.09</v>
      </c>
      <c r="L37" s="7">
        <v>309.67133200000001</v>
      </c>
      <c r="N37" s="11"/>
      <c r="O37" s="7"/>
      <c r="Q37" s="11"/>
      <c r="R37" s="7"/>
    </row>
    <row r="38" spans="1:18" x14ac:dyDescent="0.25">
      <c r="A38" s="1">
        <v>7891058009458</v>
      </c>
      <c r="B38" s="1">
        <v>7536</v>
      </c>
      <c r="C38" t="s">
        <v>54</v>
      </c>
      <c r="E38" s="11"/>
      <c r="F38" s="7"/>
      <c r="H38" s="11"/>
      <c r="I38" s="7"/>
      <c r="J38">
        <v>1</v>
      </c>
      <c r="K38" s="11">
        <v>0.1</v>
      </c>
      <c r="L38" s="7">
        <v>43.7</v>
      </c>
      <c r="N38" s="11"/>
      <c r="O38" s="7"/>
      <c r="Q38" s="11"/>
      <c r="R38" s="7"/>
    </row>
    <row r="39" spans="1:18" x14ac:dyDescent="0.25">
      <c r="A39" s="1">
        <v>7891058011222</v>
      </c>
      <c r="B39" s="1">
        <v>0</v>
      </c>
      <c r="C39" t="s">
        <v>70</v>
      </c>
      <c r="E39" s="11"/>
      <c r="F39" s="7"/>
      <c r="H39" s="11"/>
      <c r="I39" s="7"/>
      <c r="J39">
        <v>1</v>
      </c>
      <c r="K39" s="11">
        <v>0.11</v>
      </c>
      <c r="L39" s="7">
        <v>229.77384799999999</v>
      </c>
      <c r="N39" s="11"/>
      <c r="O39" s="7"/>
      <c r="P39">
        <v>3</v>
      </c>
      <c r="Q39" s="11">
        <v>0.19</v>
      </c>
      <c r="R39" s="7">
        <v>213.83080799999999</v>
      </c>
    </row>
    <row r="40" spans="1:18" x14ac:dyDescent="0.25">
      <c r="A40" s="1">
        <v>7891058015756</v>
      </c>
      <c r="B40" s="1">
        <v>36957</v>
      </c>
      <c r="C40" t="s">
        <v>23</v>
      </c>
      <c r="E40" s="11"/>
      <c r="F40" s="7"/>
      <c r="H40" s="11"/>
      <c r="I40" s="7"/>
      <c r="K40" s="11"/>
      <c r="L40" s="7"/>
      <c r="N40" s="11"/>
      <c r="O40" s="7"/>
      <c r="P40">
        <v>12</v>
      </c>
      <c r="Q40" s="11">
        <v>0.19</v>
      </c>
      <c r="R40" s="7">
        <v>25.249324000000001</v>
      </c>
    </row>
    <row r="41" spans="1:18" x14ac:dyDescent="0.25">
      <c r="C41" t="s">
        <v>69</v>
      </c>
      <c r="E41" s="11"/>
      <c r="F41" s="7"/>
      <c r="H41" s="11"/>
      <c r="I41" s="7"/>
      <c r="J41">
        <v>1</v>
      </c>
      <c r="K41" s="11">
        <v>0.11</v>
      </c>
      <c r="L41" s="7">
        <v>27.094215999999999</v>
      </c>
      <c r="N41" s="11"/>
      <c r="O41" s="7"/>
      <c r="Q41" s="11"/>
      <c r="R41" s="7"/>
    </row>
    <row r="42" spans="1:18" x14ac:dyDescent="0.25">
      <c r="A42" s="1">
        <v>7891058015770</v>
      </c>
      <c r="B42" s="1">
        <v>36958</v>
      </c>
      <c r="C42" t="s">
        <v>71</v>
      </c>
      <c r="E42" s="11"/>
      <c r="F42" s="7"/>
      <c r="H42" s="11"/>
      <c r="I42" s="7"/>
      <c r="J42">
        <v>1</v>
      </c>
      <c r="K42" s="11">
        <v>0.11</v>
      </c>
      <c r="L42" s="7">
        <v>281.90814399999999</v>
      </c>
      <c r="N42" s="11"/>
      <c r="O42" s="7"/>
      <c r="Q42" s="11"/>
      <c r="R42" s="7"/>
    </row>
    <row r="43" spans="1:18" x14ac:dyDescent="0.25">
      <c r="A43" s="1">
        <v>7891058016999</v>
      </c>
      <c r="B43" s="1">
        <v>36381</v>
      </c>
      <c r="C43" t="s">
        <v>16</v>
      </c>
      <c r="D43">
        <v>14</v>
      </c>
      <c r="E43" s="11">
        <v>0.17</v>
      </c>
      <c r="F43" s="7">
        <v>32.630000000000003</v>
      </c>
      <c r="G43">
        <v>6</v>
      </c>
      <c r="H43" s="11">
        <v>0.15</v>
      </c>
      <c r="I43" s="7">
        <v>33.409999999999997</v>
      </c>
      <c r="J43">
        <v>1</v>
      </c>
      <c r="K43" s="11">
        <v>0.11</v>
      </c>
      <c r="L43" s="7">
        <v>34.99</v>
      </c>
      <c r="M43">
        <v>40</v>
      </c>
      <c r="N43" s="11">
        <v>0.3</v>
      </c>
      <c r="O43" s="7">
        <v>27.52</v>
      </c>
      <c r="P43">
        <v>30</v>
      </c>
      <c r="Q43" s="11">
        <v>0.26</v>
      </c>
      <c r="R43" s="7">
        <v>29.09</v>
      </c>
    </row>
    <row r="44" spans="1:18" x14ac:dyDescent="0.25">
      <c r="A44" s="1">
        <v>7891058017002</v>
      </c>
      <c r="B44" s="1">
        <v>46785</v>
      </c>
      <c r="C44" t="s">
        <v>18</v>
      </c>
      <c r="D44">
        <v>4</v>
      </c>
      <c r="E44" s="11">
        <v>0.17</v>
      </c>
      <c r="F44" s="7">
        <v>51.92</v>
      </c>
      <c r="G44">
        <v>3</v>
      </c>
      <c r="H44" s="11">
        <v>0.15</v>
      </c>
      <c r="I44" s="7">
        <v>53.17</v>
      </c>
      <c r="J44">
        <v>1</v>
      </c>
      <c r="K44" s="11">
        <v>0.11</v>
      </c>
      <c r="L44" s="7">
        <v>55.67</v>
      </c>
      <c r="M44">
        <v>15</v>
      </c>
      <c r="N44" s="11">
        <v>0.3</v>
      </c>
      <c r="O44" s="7">
        <v>43.79</v>
      </c>
      <c r="P44">
        <v>10</v>
      </c>
      <c r="Q44" s="11">
        <v>0.26</v>
      </c>
      <c r="R44" s="7">
        <v>46.29</v>
      </c>
    </row>
    <row r="45" spans="1:18" x14ac:dyDescent="0.25">
      <c r="A45" s="1">
        <v>7891058017392</v>
      </c>
      <c r="B45" s="1">
        <v>41533</v>
      </c>
      <c r="C45" t="s">
        <v>53</v>
      </c>
      <c r="D45">
        <v>4</v>
      </c>
      <c r="E45" s="11">
        <v>0.13</v>
      </c>
      <c r="F45" s="7">
        <v>181.798688</v>
      </c>
      <c r="G45">
        <v>2</v>
      </c>
      <c r="H45" s="11">
        <v>0.11</v>
      </c>
      <c r="I45" s="7">
        <v>184.91811200000001</v>
      </c>
      <c r="J45">
        <v>1</v>
      </c>
      <c r="K45" s="11">
        <v>0.09</v>
      </c>
      <c r="L45" s="7">
        <v>34.501359999999998</v>
      </c>
      <c r="N45" s="11"/>
      <c r="O45" s="7"/>
      <c r="Q45" s="11"/>
      <c r="R45" s="7"/>
    </row>
    <row r="46" spans="1:18" x14ac:dyDescent="0.25">
      <c r="A46" s="1">
        <v>7891058017507</v>
      </c>
      <c r="B46" s="1">
        <v>41802</v>
      </c>
      <c r="C46" t="s">
        <v>86</v>
      </c>
      <c r="D46">
        <v>60</v>
      </c>
      <c r="E46" s="11">
        <v>0.12</v>
      </c>
      <c r="F46" s="7">
        <v>17.389716</v>
      </c>
      <c r="G46">
        <v>30</v>
      </c>
      <c r="H46" s="11">
        <v>0.1</v>
      </c>
      <c r="I46" s="7">
        <v>17.697340000000001</v>
      </c>
      <c r="J46">
        <v>1</v>
      </c>
      <c r="K46" s="11">
        <v>0.08</v>
      </c>
      <c r="L46" s="7">
        <v>17.995816000000001</v>
      </c>
      <c r="N46" s="11"/>
      <c r="O46" s="7"/>
      <c r="Q46" s="11"/>
      <c r="R46" s="7"/>
    </row>
    <row r="47" spans="1:18" x14ac:dyDescent="0.25">
      <c r="A47" s="1">
        <v>7891058018627</v>
      </c>
      <c r="B47" s="1">
        <v>40550</v>
      </c>
      <c r="C47" t="s">
        <v>51</v>
      </c>
      <c r="E47" s="11"/>
      <c r="F47" s="7"/>
      <c r="H47" s="11"/>
      <c r="I47" s="7"/>
      <c r="J47">
        <v>1</v>
      </c>
      <c r="K47" s="11">
        <v>7.0000000000000007E-2</v>
      </c>
      <c r="L47" s="7">
        <v>14.887828000000001</v>
      </c>
      <c r="N47" s="11"/>
      <c r="O47" s="7"/>
      <c r="Q47" s="11"/>
      <c r="R47" s="7"/>
    </row>
    <row r="48" spans="1:18" x14ac:dyDescent="0.25">
      <c r="A48" s="1">
        <v>7891058020286</v>
      </c>
      <c r="B48" s="1">
        <v>41036</v>
      </c>
      <c r="C48" t="s">
        <v>21</v>
      </c>
      <c r="D48">
        <v>10</v>
      </c>
      <c r="E48" s="11">
        <v>0.17</v>
      </c>
      <c r="F48" s="7">
        <v>32.979999999999997</v>
      </c>
      <c r="G48">
        <v>5</v>
      </c>
      <c r="H48" s="11">
        <v>0.15</v>
      </c>
      <c r="I48" s="7">
        <v>33.770000000000003</v>
      </c>
      <c r="J48">
        <v>1</v>
      </c>
      <c r="K48" s="11">
        <v>0.11</v>
      </c>
      <c r="L48" s="7">
        <v>35.36</v>
      </c>
      <c r="M48">
        <v>30</v>
      </c>
      <c r="N48" s="11">
        <v>0.3</v>
      </c>
      <c r="O48" s="7">
        <v>27.81</v>
      </c>
      <c r="P48">
        <v>18</v>
      </c>
      <c r="Q48" s="11">
        <v>0.26</v>
      </c>
      <c r="R48" s="7">
        <v>29.4</v>
      </c>
    </row>
    <row r="49" spans="1:18" x14ac:dyDescent="0.25">
      <c r="A49" s="1">
        <v>7891058020316</v>
      </c>
      <c r="B49" s="1">
        <v>3045</v>
      </c>
      <c r="C49" t="s">
        <v>84</v>
      </c>
      <c r="D49">
        <v>10</v>
      </c>
      <c r="E49" s="11">
        <v>0.11</v>
      </c>
      <c r="F49" s="7">
        <v>21.9</v>
      </c>
      <c r="G49">
        <v>5</v>
      </c>
      <c r="H49" s="11">
        <v>0.09</v>
      </c>
      <c r="I49" s="7">
        <v>22.29</v>
      </c>
      <c r="J49">
        <v>1</v>
      </c>
      <c r="K49" s="11">
        <v>7.0000000000000007E-2</v>
      </c>
      <c r="L49" s="7">
        <v>22.69</v>
      </c>
      <c r="N49" s="11"/>
      <c r="O49" s="7"/>
      <c r="P49">
        <v>12</v>
      </c>
      <c r="Q49" s="11">
        <v>0.21</v>
      </c>
      <c r="R49" s="7">
        <v>19.97</v>
      </c>
    </row>
    <row r="50" spans="1:18" x14ac:dyDescent="0.25">
      <c r="A50" s="1">
        <v>7891058021528</v>
      </c>
      <c r="B50" s="1">
        <v>197</v>
      </c>
      <c r="C50" t="s">
        <v>58</v>
      </c>
      <c r="E50" s="11"/>
      <c r="F50" s="7"/>
      <c r="H50" s="11"/>
      <c r="I50" s="7"/>
      <c r="J50">
        <v>1</v>
      </c>
      <c r="K50" s="11">
        <v>0.09</v>
      </c>
      <c r="L50" s="7">
        <v>14.955272000000001</v>
      </c>
      <c r="N50" s="11"/>
      <c r="O50" s="7"/>
      <c r="Q50" s="11"/>
      <c r="R50" s="7"/>
    </row>
    <row r="51" spans="1:18" x14ac:dyDescent="0.25">
      <c r="A51" s="1">
        <v>7891058021566</v>
      </c>
      <c r="B51" s="1">
        <v>1958</v>
      </c>
      <c r="C51" t="s">
        <v>67</v>
      </c>
      <c r="E51" s="11"/>
      <c r="F51" s="7"/>
      <c r="H51" s="11"/>
      <c r="I51" s="7"/>
      <c r="J51">
        <v>1</v>
      </c>
      <c r="K51" s="11">
        <v>0.15</v>
      </c>
      <c r="L51" s="7">
        <v>44.557968000000002</v>
      </c>
      <c r="N51" s="11"/>
      <c r="O51" s="7"/>
      <c r="Q51" s="11"/>
      <c r="R51" s="7"/>
    </row>
    <row r="52" spans="1:18" x14ac:dyDescent="0.25">
      <c r="A52" s="1">
        <v>7891058021573</v>
      </c>
      <c r="B52" s="1">
        <v>0</v>
      </c>
      <c r="C52" t="s">
        <v>68</v>
      </c>
      <c r="E52" s="11"/>
      <c r="F52" s="7"/>
      <c r="H52" s="11"/>
      <c r="I52" s="7"/>
      <c r="J52">
        <v>1</v>
      </c>
      <c r="K52" s="11">
        <v>0.15</v>
      </c>
      <c r="L52" s="7">
        <v>32.654179999999997</v>
      </c>
      <c r="N52" s="11"/>
      <c r="O52" s="7"/>
      <c r="Q52" s="11"/>
      <c r="R52" s="7"/>
    </row>
    <row r="53" spans="1:18" x14ac:dyDescent="0.25">
      <c r="A53" s="1">
        <v>7891058021580</v>
      </c>
      <c r="B53" s="1">
        <v>5796</v>
      </c>
      <c r="C53" t="s">
        <v>39</v>
      </c>
      <c r="E53" s="11"/>
      <c r="F53" s="7"/>
      <c r="H53" s="11"/>
      <c r="I53" s="7"/>
      <c r="J53">
        <v>1</v>
      </c>
      <c r="K53" s="11">
        <v>0.12</v>
      </c>
      <c r="L53" s="7">
        <v>14.575944</v>
      </c>
      <c r="N53" s="11"/>
      <c r="O53" s="7"/>
      <c r="Q53" s="11"/>
      <c r="R53" s="7"/>
    </row>
    <row r="54" spans="1:18" x14ac:dyDescent="0.25">
      <c r="A54" s="1">
        <v>7891058021597</v>
      </c>
      <c r="B54" s="1">
        <v>21487</v>
      </c>
      <c r="C54" t="s">
        <v>37</v>
      </c>
      <c r="D54">
        <v>120</v>
      </c>
      <c r="E54" s="11">
        <v>0.45</v>
      </c>
      <c r="F54" s="7">
        <v>15.193296</v>
      </c>
      <c r="G54">
        <v>60</v>
      </c>
      <c r="H54" s="11">
        <v>0.35</v>
      </c>
      <c r="I54" s="7">
        <v>17.029039999999998</v>
      </c>
      <c r="J54">
        <v>1</v>
      </c>
      <c r="K54" s="11">
        <v>0.12</v>
      </c>
      <c r="L54" s="7">
        <v>21.242591999999998</v>
      </c>
      <c r="N54" s="11"/>
      <c r="O54" s="7"/>
      <c r="Q54" s="11"/>
      <c r="R54" s="7"/>
    </row>
    <row r="55" spans="1:18" x14ac:dyDescent="0.25">
      <c r="A55" s="1">
        <v>7891058021603</v>
      </c>
      <c r="B55" s="1">
        <v>0</v>
      </c>
      <c r="C55" t="s">
        <v>38</v>
      </c>
      <c r="E55" s="11"/>
      <c r="F55" s="7"/>
      <c r="H55" s="11"/>
      <c r="I55" s="7"/>
      <c r="J55">
        <v>1</v>
      </c>
      <c r="K55" s="11">
        <v>7.0000000000000007E-2</v>
      </c>
      <c r="L55" s="7">
        <v>22.69</v>
      </c>
      <c r="N55" s="11"/>
      <c r="O55" s="7"/>
      <c r="Q55" s="11"/>
      <c r="R55" s="7"/>
    </row>
    <row r="56" spans="1:18" x14ac:dyDescent="0.25">
      <c r="A56" s="1">
        <v>7891058021610</v>
      </c>
      <c r="B56" s="1">
        <v>6843</v>
      </c>
      <c r="C56" t="s">
        <v>43</v>
      </c>
      <c r="E56" s="11"/>
      <c r="F56" s="7"/>
      <c r="H56" s="11"/>
      <c r="I56" s="7"/>
      <c r="J56">
        <v>1</v>
      </c>
      <c r="K56" s="11">
        <v>0.15</v>
      </c>
      <c r="L56" s="7">
        <v>23.352595999999998</v>
      </c>
      <c r="N56" s="11"/>
      <c r="O56" s="7"/>
      <c r="Q56" s="11"/>
      <c r="R56" s="7"/>
    </row>
    <row r="57" spans="1:18" x14ac:dyDescent="0.25">
      <c r="A57" s="1">
        <v>7891058021627</v>
      </c>
      <c r="B57" s="1">
        <v>6842</v>
      </c>
      <c r="C57" t="s">
        <v>42</v>
      </c>
      <c r="E57" s="11"/>
      <c r="F57" s="7"/>
      <c r="H57" s="11"/>
      <c r="I57" s="7"/>
      <c r="J57">
        <v>1</v>
      </c>
      <c r="K57" s="11">
        <v>0.15</v>
      </c>
      <c r="L57" s="7">
        <v>11.798272000000001</v>
      </c>
      <c r="N57" s="11"/>
      <c r="O57" s="7"/>
      <c r="Q57" s="11"/>
      <c r="R57" s="7"/>
    </row>
    <row r="58" spans="1:18" x14ac:dyDescent="0.25">
      <c r="A58" s="1">
        <v>7891058021665</v>
      </c>
      <c r="B58" s="1">
        <v>0</v>
      </c>
      <c r="C58" t="s">
        <v>82</v>
      </c>
      <c r="E58" s="11"/>
      <c r="F58" s="7"/>
      <c r="H58" s="11"/>
      <c r="I58" s="7"/>
      <c r="J58">
        <v>1</v>
      </c>
      <c r="K58" s="11">
        <v>0.21</v>
      </c>
      <c r="L58" s="7">
        <v>231.94530800000001</v>
      </c>
      <c r="N58" s="11"/>
      <c r="O58" s="7"/>
      <c r="Q58" s="11"/>
      <c r="R58" s="7"/>
    </row>
    <row r="59" spans="1:18" x14ac:dyDescent="0.25">
      <c r="A59" s="1">
        <v>7891058021689</v>
      </c>
      <c r="B59" s="1">
        <v>43102</v>
      </c>
      <c r="C59" t="s">
        <v>61</v>
      </c>
      <c r="E59" s="11"/>
      <c r="F59" s="7"/>
      <c r="H59" s="11"/>
      <c r="I59" s="7"/>
      <c r="J59">
        <v>1</v>
      </c>
      <c r="K59" s="11">
        <v>0.09</v>
      </c>
      <c r="L59" s="7">
        <v>33.730775999999999</v>
      </c>
      <c r="N59" s="11"/>
      <c r="O59" s="7"/>
      <c r="Q59" s="11"/>
      <c r="R59" s="7"/>
    </row>
    <row r="60" spans="1:18" x14ac:dyDescent="0.25">
      <c r="A60" s="1">
        <v>7891058021702</v>
      </c>
      <c r="B60" s="1">
        <v>0</v>
      </c>
      <c r="C60" t="s">
        <v>78</v>
      </c>
      <c r="E60" s="11"/>
      <c r="F60" s="7"/>
      <c r="H60" s="11"/>
      <c r="I60" s="7"/>
      <c r="J60">
        <v>1</v>
      </c>
      <c r="K60" s="11">
        <v>0.23</v>
      </c>
      <c r="L60" s="7">
        <v>78.819999999999993</v>
      </c>
      <c r="N60" s="11"/>
      <c r="O60" s="7"/>
      <c r="Q60" s="11"/>
      <c r="R60" s="7"/>
    </row>
    <row r="61" spans="1:18" x14ac:dyDescent="0.25">
      <c r="A61" s="1">
        <v>7891058021726</v>
      </c>
      <c r="B61" s="1">
        <v>5346</v>
      </c>
      <c r="C61" t="s">
        <v>96</v>
      </c>
      <c r="E61" s="11"/>
      <c r="F61" s="7"/>
      <c r="H61" s="11"/>
      <c r="I61" s="7"/>
      <c r="J61">
        <v>1</v>
      </c>
      <c r="K61" s="11">
        <v>0.23</v>
      </c>
      <c r="L61" s="7">
        <v>43.7</v>
      </c>
      <c r="N61" s="11"/>
      <c r="O61" s="7"/>
      <c r="Q61" s="11"/>
      <c r="R61" s="7"/>
    </row>
    <row r="62" spans="1:18" x14ac:dyDescent="0.25">
      <c r="A62" s="1">
        <v>7891058022136</v>
      </c>
      <c r="B62" s="1">
        <v>47086</v>
      </c>
      <c r="C62" t="s">
        <v>85</v>
      </c>
      <c r="D62">
        <v>8</v>
      </c>
      <c r="E62" s="11">
        <v>0.11</v>
      </c>
      <c r="F62" s="7">
        <v>14.096212</v>
      </c>
      <c r="G62">
        <v>4</v>
      </c>
      <c r="H62" s="11">
        <v>0.09</v>
      </c>
      <c r="I62" s="7">
        <v>14.340652</v>
      </c>
      <c r="J62">
        <v>1</v>
      </c>
      <c r="K62" s="11">
        <v>7.0000000000000007E-2</v>
      </c>
      <c r="L62" s="7">
        <v>14.575944</v>
      </c>
      <c r="N62" s="11"/>
      <c r="O62" s="7"/>
      <c r="Q62" s="11"/>
      <c r="R62" s="7"/>
    </row>
    <row r="63" spans="1:18" x14ac:dyDescent="0.25">
      <c r="A63" s="1">
        <v>7891058022594</v>
      </c>
      <c r="B63" s="1">
        <v>55156</v>
      </c>
      <c r="C63" t="s">
        <v>20</v>
      </c>
      <c r="D63">
        <v>4</v>
      </c>
      <c r="E63" s="11">
        <v>0.17</v>
      </c>
      <c r="F63" s="7">
        <v>52.78</v>
      </c>
      <c r="G63">
        <v>3</v>
      </c>
      <c r="H63" s="11">
        <v>0.15</v>
      </c>
      <c r="I63" s="7">
        <v>54.05</v>
      </c>
      <c r="J63">
        <v>1</v>
      </c>
      <c r="K63" s="11">
        <v>0.11</v>
      </c>
      <c r="L63" s="7">
        <v>56.6</v>
      </c>
      <c r="M63">
        <v>15</v>
      </c>
      <c r="N63" s="11">
        <v>0.3</v>
      </c>
      <c r="O63" s="7">
        <v>44.51</v>
      </c>
      <c r="P63">
        <v>10</v>
      </c>
      <c r="Q63" s="11">
        <v>0.26</v>
      </c>
      <c r="R63" s="7">
        <v>47.06</v>
      </c>
    </row>
    <row r="64" spans="1:18" x14ac:dyDescent="0.25">
      <c r="A64" s="1">
        <v>7891058022686</v>
      </c>
      <c r="B64" s="1">
        <v>0</v>
      </c>
      <c r="C64" t="s">
        <v>76</v>
      </c>
      <c r="E64" s="11"/>
      <c r="F64" s="7"/>
      <c r="H64" s="11"/>
      <c r="I64" s="7"/>
      <c r="J64">
        <v>1</v>
      </c>
      <c r="K64" s="11">
        <v>0.19500000000000001</v>
      </c>
      <c r="L64" s="7">
        <v>95.07</v>
      </c>
      <c r="N64" s="11"/>
      <c r="O64" s="7"/>
      <c r="Q64" s="11"/>
      <c r="R64" s="7"/>
    </row>
    <row r="65" spans="1:18" x14ac:dyDescent="0.25">
      <c r="A65" s="1">
        <v>7891058022730</v>
      </c>
      <c r="B65" s="1">
        <v>48764</v>
      </c>
      <c r="C65" t="s">
        <v>65</v>
      </c>
      <c r="E65" s="11"/>
      <c r="F65" s="7"/>
      <c r="H65" s="11"/>
      <c r="I65" s="7"/>
      <c r="J65">
        <v>1</v>
      </c>
      <c r="K65" s="11">
        <v>0.09</v>
      </c>
      <c r="L65" s="7">
        <v>120.37</v>
      </c>
      <c r="N65" s="11"/>
      <c r="O65" s="7"/>
      <c r="Q65" s="11"/>
      <c r="R65" s="7"/>
    </row>
    <row r="66" spans="1:18" x14ac:dyDescent="0.25">
      <c r="A66" s="1">
        <v>7891058022815</v>
      </c>
      <c r="B66" s="1">
        <v>47552</v>
      </c>
      <c r="C66" t="s">
        <v>90</v>
      </c>
      <c r="D66">
        <v>6</v>
      </c>
      <c r="E66" s="11">
        <v>0.12</v>
      </c>
      <c r="F66" s="7">
        <v>13.795807999999999</v>
      </c>
      <c r="G66">
        <v>3</v>
      </c>
      <c r="H66" s="11">
        <v>0.11</v>
      </c>
      <c r="I66" s="7">
        <v>13.913028000000001</v>
      </c>
      <c r="J66">
        <v>1</v>
      </c>
      <c r="K66" s="11">
        <v>7.0000000000000007E-2</v>
      </c>
      <c r="L66" s="7">
        <v>14.392760000000001</v>
      </c>
      <c r="N66" s="11"/>
      <c r="O66" s="7"/>
      <c r="Q66" s="11"/>
      <c r="R66" s="7"/>
    </row>
    <row r="67" spans="1:18" x14ac:dyDescent="0.25">
      <c r="A67" s="1">
        <v>7891058024314</v>
      </c>
      <c r="B67" s="1">
        <v>6327</v>
      </c>
      <c r="C67" t="s">
        <v>31</v>
      </c>
      <c r="D67">
        <v>3</v>
      </c>
      <c r="E67" s="11">
        <v>0.11</v>
      </c>
      <c r="F67" s="7">
        <v>24.498107999999998</v>
      </c>
      <c r="G67">
        <v>2</v>
      </c>
      <c r="H67" s="11">
        <v>0.09</v>
      </c>
      <c r="I67" s="7">
        <v>24.868915999999999</v>
      </c>
      <c r="J67">
        <v>1</v>
      </c>
      <c r="K67" s="11">
        <v>7.0000000000000007E-2</v>
      </c>
      <c r="L67" s="7">
        <v>25.230575999999999</v>
      </c>
      <c r="N67" s="11"/>
      <c r="O67" s="7"/>
      <c r="Q67" s="11"/>
      <c r="R67" s="7"/>
    </row>
    <row r="68" spans="1:18" x14ac:dyDescent="0.25">
      <c r="A68" s="1">
        <v>7891058168049</v>
      </c>
      <c r="B68" s="1">
        <v>6325</v>
      </c>
      <c r="C68" t="s">
        <v>28</v>
      </c>
      <c r="D68">
        <v>3</v>
      </c>
      <c r="E68" s="11">
        <v>0.11</v>
      </c>
      <c r="F68" s="7">
        <v>45.011104000000003</v>
      </c>
      <c r="G68">
        <v>2</v>
      </c>
      <c r="H68" s="11">
        <v>0.09</v>
      </c>
      <c r="I68" s="7">
        <v>45.743572</v>
      </c>
      <c r="J68">
        <v>1</v>
      </c>
      <c r="K68" s="11">
        <v>7.0000000000000007E-2</v>
      </c>
      <c r="L68" s="7">
        <v>46.476039999999998</v>
      </c>
      <c r="N68" s="11"/>
      <c r="O68" s="7"/>
      <c r="Q68" s="11"/>
      <c r="R68" s="7"/>
    </row>
    <row r="69" spans="1:18" x14ac:dyDescent="0.25">
      <c r="A69" s="1">
        <v>7891058169015</v>
      </c>
      <c r="B69" s="1">
        <v>6326</v>
      </c>
      <c r="C69" t="s">
        <v>30</v>
      </c>
      <c r="E69" s="11"/>
      <c r="F69" s="7"/>
      <c r="H69" s="11"/>
      <c r="I69" s="7"/>
      <c r="J69">
        <v>1</v>
      </c>
      <c r="K69" s="11">
        <v>0.1</v>
      </c>
      <c r="L69" s="7">
        <v>68.245311999999998</v>
      </c>
      <c r="N69" s="11"/>
      <c r="O69" s="7"/>
      <c r="Q69" s="11"/>
      <c r="R69" s="7"/>
    </row>
    <row r="70" spans="1:18" x14ac:dyDescent="0.25">
      <c r="A70" s="1">
        <v>7891058464073</v>
      </c>
      <c r="B70" s="1">
        <v>1525</v>
      </c>
      <c r="C70" t="s">
        <v>24</v>
      </c>
      <c r="D70">
        <v>5</v>
      </c>
      <c r="E70" s="11">
        <v>0.12</v>
      </c>
      <c r="F70" s="7">
        <v>34.688848</v>
      </c>
      <c r="G70">
        <v>3</v>
      </c>
      <c r="H70" s="11">
        <v>0.1</v>
      </c>
      <c r="I70" s="7">
        <v>35.294947999999998</v>
      </c>
      <c r="J70">
        <v>1</v>
      </c>
      <c r="K70" s="11">
        <v>0.08</v>
      </c>
      <c r="L70" s="7">
        <v>35.8919</v>
      </c>
      <c r="M70">
        <v>12</v>
      </c>
      <c r="N70" s="11">
        <v>0.28000000000000003</v>
      </c>
      <c r="O70" s="7">
        <v>29.905788000000001</v>
      </c>
      <c r="P70">
        <v>8</v>
      </c>
      <c r="Q70" s="11">
        <v>0.21</v>
      </c>
      <c r="R70" s="7">
        <v>31.994268000000002</v>
      </c>
    </row>
    <row r="71" spans="1:18" x14ac:dyDescent="0.25">
      <c r="A71" s="1">
        <v>7891058467098</v>
      </c>
      <c r="B71" s="1">
        <v>1524</v>
      </c>
      <c r="C71" t="s">
        <v>72</v>
      </c>
      <c r="E71" s="11"/>
      <c r="F71" s="7"/>
      <c r="H71" s="11"/>
      <c r="I71" s="7"/>
      <c r="J71">
        <v>1</v>
      </c>
      <c r="K71" s="11">
        <v>0.09</v>
      </c>
      <c r="L71" s="7">
        <v>17.705231999999999</v>
      </c>
      <c r="N71" s="11"/>
      <c r="O71" s="7"/>
      <c r="Q71" s="11"/>
      <c r="R71" s="7"/>
    </row>
    <row r="72" spans="1:18" x14ac:dyDescent="0.25">
      <c r="A72" s="1">
        <v>7896070600249</v>
      </c>
      <c r="B72" s="1">
        <v>0</v>
      </c>
      <c r="C72" t="s">
        <v>49</v>
      </c>
      <c r="D72">
        <v>4</v>
      </c>
      <c r="E72" s="11">
        <v>0.11</v>
      </c>
      <c r="F72" s="7">
        <v>20.889004</v>
      </c>
      <c r="G72">
        <v>3</v>
      </c>
      <c r="H72" s="11">
        <v>0.09</v>
      </c>
      <c r="I72" s="7">
        <v>21.251515999999999</v>
      </c>
      <c r="J72">
        <v>1</v>
      </c>
      <c r="K72" s="11">
        <v>7.0000000000000007E-2</v>
      </c>
      <c r="L72" s="7">
        <v>35.36</v>
      </c>
      <c r="N72" s="11"/>
      <c r="O72" s="7"/>
      <c r="Q72" s="11"/>
      <c r="R72" s="7"/>
    </row>
    <row r="73" spans="1:18" x14ac:dyDescent="0.25">
      <c r="A73" s="1">
        <v>7896070600447</v>
      </c>
      <c r="B73" s="1">
        <v>373</v>
      </c>
      <c r="C73" t="s">
        <v>91</v>
      </c>
      <c r="D73">
        <v>6</v>
      </c>
      <c r="E73" s="11">
        <v>0.11</v>
      </c>
      <c r="F73" s="7">
        <v>14.399800000000001</v>
      </c>
      <c r="G73">
        <v>3</v>
      </c>
      <c r="H73" s="11">
        <v>0.09</v>
      </c>
      <c r="I73" s="7">
        <v>14.64424</v>
      </c>
      <c r="J73">
        <v>1</v>
      </c>
      <c r="K73" s="11">
        <v>7.0000000000000007E-2</v>
      </c>
      <c r="L73" s="7">
        <v>14.887828000000001</v>
      </c>
      <c r="N73" s="11"/>
      <c r="O73" s="7"/>
      <c r="Q73" s="11"/>
      <c r="R73" s="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5123-BB99-4062-B1EB-36AAE28E2F4A}">
  <sheetPr codeName="Planilha3"/>
  <dimension ref="A1:K55"/>
  <sheetViews>
    <sheetView tabSelected="1" workbookViewId="0"/>
  </sheetViews>
  <sheetFormatPr defaultRowHeight="15" x14ac:dyDescent="0.25"/>
  <cols>
    <col min="1" max="1" width="6" bestFit="1" customWidth="1"/>
    <col min="2" max="2" width="40.7109375" bestFit="1" customWidth="1"/>
    <col min="3" max="3" width="11" bestFit="1" customWidth="1"/>
    <col min="4" max="4" width="9.7109375" bestFit="1" customWidth="1"/>
    <col min="5" max="5" width="10.5703125" bestFit="1" customWidth="1"/>
    <col min="6" max="6" width="16.28515625" bestFit="1" customWidth="1"/>
    <col min="7" max="7" width="10.5703125" bestFit="1" customWidth="1"/>
    <col min="8" max="8" width="14.5703125" bestFit="1" customWidth="1"/>
    <col min="9" max="9" width="16.28515625" bestFit="1" customWidth="1"/>
    <col min="10" max="10" width="10.5703125" bestFit="1" customWidth="1"/>
    <col min="11" max="11" width="14.5703125" bestFit="1" customWidth="1"/>
  </cols>
  <sheetData>
    <row r="1" spans="1:11" ht="15.75" thickBot="1" x14ac:dyDescent="0.3">
      <c r="A1" s="15" t="s">
        <v>113</v>
      </c>
      <c r="B1" s="15" t="s">
        <v>105</v>
      </c>
      <c r="C1" s="15" t="s">
        <v>167</v>
      </c>
      <c r="D1" s="16" t="s">
        <v>106</v>
      </c>
      <c r="E1" s="16" t="s">
        <v>107</v>
      </c>
      <c r="F1" s="16" t="s">
        <v>108</v>
      </c>
      <c r="G1" s="17" t="s">
        <v>110</v>
      </c>
      <c r="H1" s="16" t="s">
        <v>111</v>
      </c>
      <c r="I1" s="16" t="s">
        <v>114</v>
      </c>
      <c r="J1" s="16" t="s">
        <v>109</v>
      </c>
      <c r="K1" s="16" t="s">
        <v>112</v>
      </c>
    </row>
    <row r="2" spans="1:11" x14ac:dyDescent="0.25">
      <c r="A2" s="18">
        <v>0</v>
      </c>
      <c r="B2" s="18" t="s">
        <v>125</v>
      </c>
      <c r="C2" s="18">
        <v>264.82</v>
      </c>
      <c r="D2" s="21">
        <v>7.0000000000000007E-2</v>
      </c>
      <c r="E2" s="20">
        <v>263.54000000000002</v>
      </c>
      <c r="F2" s="21">
        <v>0</v>
      </c>
      <c r="G2" s="19">
        <v>0</v>
      </c>
      <c r="H2" s="22">
        <v>0</v>
      </c>
      <c r="I2" s="23">
        <v>0.21</v>
      </c>
      <c r="J2" s="19">
        <v>233.7</v>
      </c>
      <c r="K2" s="22">
        <v>60</v>
      </c>
    </row>
    <row r="3" spans="1:11" x14ac:dyDescent="0.25">
      <c r="A3" s="24">
        <v>197</v>
      </c>
      <c r="B3" s="24" t="s">
        <v>143</v>
      </c>
      <c r="C3" s="24">
        <v>15.54</v>
      </c>
      <c r="D3" s="26">
        <v>0.09</v>
      </c>
      <c r="E3" s="14">
        <v>14.955272000000001</v>
      </c>
      <c r="F3" s="26">
        <v>0</v>
      </c>
      <c r="G3" s="19">
        <v>0</v>
      </c>
      <c r="H3" s="27">
        <v>0</v>
      </c>
      <c r="I3" s="28">
        <v>0</v>
      </c>
      <c r="J3" s="19">
        <v>0</v>
      </c>
      <c r="K3" s="27">
        <v>0</v>
      </c>
    </row>
    <row r="4" spans="1:11" x14ac:dyDescent="0.25">
      <c r="A4" s="24">
        <v>373</v>
      </c>
      <c r="B4" s="24" t="s">
        <v>150</v>
      </c>
      <c r="C4" s="24">
        <v>15.17</v>
      </c>
      <c r="D4" s="26">
        <v>7.0000000000000007E-2</v>
      </c>
      <c r="E4" s="14">
        <v>14.887828000000001</v>
      </c>
      <c r="F4" s="26">
        <v>0.09</v>
      </c>
      <c r="G4" s="14">
        <v>14.64424</v>
      </c>
      <c r="H4" s="27">
        <v>3</v>
      </c>
      <c r="I4" s="28">
        <v>0.11</v>
      </c>
      <c r="J4" s="29">
        <v>14.399800000000001</v>
      </c>
      <c r="K4" s="27">
        <v>6</v>
      </c>
    </row>
    <row r="5" spans="1:11" x14ac:dyDescent="0.25">
      <c r="A5" s="24">
        <v>1349</v>
      </c>
      <c r="B5" s="24" t="s">
        <v>130</v>
      </c>
      <c r="C5" s="24">
        <v>14.73</v>
      </c>
      <c r="D5" s="26">
        <v>7.0000000000000007E-2</v>
      </c>
      <c r="E5" s="14">
        <v>14.392760000000001</v>
      </c>
      <c r="F5" s="26">
        <v>0.09</v>
      </c>
      <c r="G5" s="14">
        <v>15.44</v>
      </c>
      <c r="H5" s="27">
        <v>3</v>
      </c>
      <c r="I5" s="28">
        <v>0.11</v>
      </c>
      <c r="J5" s="29">
        <v>15.1</v>
      </c>
      <c r="K5" s="27">
        <v>4</v>
      </c>
    </row>
    <row r="6" spans="1:11" x14ac:dyDescent="0.25">
      <c r="A6" s="24">
        <v>1362</v>
      </c>
      <c r="B6" s="24" t="s">
        <v>129</v>
      </c>
      <c r="C6" s="24">
        <v>13.42</v>
      </c>
      <c r="D6" s="26">
        <v>7.0000000000000007E-2</v>
      </c>
      <c r="E6" s="14">
        <v>13.057779999999999</v>
      </c>
      <c r="F6" s="26">
        <v>0.09</v>
      </c>
      <c r="G6" s="14">
        <v>27.49</v>
      </c>
      <c r="H6" s="27">
        <v>3</v>
      </c>
      <c r="I6" s="28">
        <v>0.11</v>
      </c>
      <c r="J6" s="29">
        <v>26.89</v>
      </c>
      <c r="K6" s="27">
        <v>4</v>
      </c>
    </row>
    <row r="7" spans="1:11" x14ac:dyDescent="0.25">
      <c r="A7" s="24">
        <v>1524</v>
      </c>
      <c r="B7" s="24" t="s">
        <v>159</v>
      </c>
      <c r="C7" s="24">
        <v>18.510000000000002</v>
      </c>
      <c r="D7" s="26">
        <v>0.09</v>
      </c>
      <c r="E7" s="14">
        <v>17.705231999999999</v>
      </c>
      <c r="F7" s="26">
        <v>0</v>
      </c>
      <c r="G7" s="19">
        <v>0</v>
      </c>
      <c r="H7" s="27">
        <v>0</v>
      </c>
      <c r="I7" s="28">
        <v>0</v>
      </c>
      <c r="J7" s="19">
        <v>0</v>
      </c>
      <c r="K7" s="27">
        <v>0</v>
      </c>
    </row>
    <row r="8" spans="1:11" x14ac:dyDescent="0.25">
      <c r="A8" s="24">
        <v>1525</v>
      </c>
      <c r="B8" s="24" t="s">
        <v>163</v>
      </c>
      <c r="C8" s="24">
        <v>37.229999999999997</v>
      </c>
      <c r="D8" s="26">
        <v>0.08</v>
      </c>
      <c r="E8" s="14">
        <v>35.8919</v>
      </c>
      <c r="F8" s="26">
        <v>0.1</v>
      </c>
      <c r="G8" s="14">
        <v>35.294947999999998</v>
      </c>
      <c r="H8" s="27">
        <v>3</v>
      </c>
      <c r="I8" s="28">
        <v>0.12</v>
      </c>
      <c r="J8" s="29">
        <v>34.688848</v>
      </c>
      <c r="K8" s="27">
        <v>5</v>
      </c>
    </row>
    <row r="9" spans="1:11" x14ac:dyDescent="0.25">
      <c r="A9" s="24">
        <v>1529</v>
      </c>
      <c r="B9" s="24" t="s">
        <v>162</v>
      </c>
      <c r="C9" s="24">
        <v>24.63</v>
      </c>
      <c r="D9" s="26">
        <v>7.0000000000000007E-2</v>
      </c>
      <c r="E9" s="14">
        <v>24.098068000000001</v>
      </c>
      <c r="F9" s="26">
        <v>0.09</v>
      </c>
      <c r="G9" s="14">
        <v>23.700668</v>
      </c>
      <c r="H9" s="27">
        <v>3</v>
      </c>
      <c r="I9" s="28">
        <v>0.11</v>
      </c>
      <c r="J9" s="29">
        <v>23.302416000000001</v>
      </c>
      <c r="K9" s="27">
        <v>6</v>
      </c>
    </row>
    <row r="10" spans="1:11" x14ac:dyDescent="0.25">
      <c r="A10" s="24">
        <v>1850</v>
      </c>
      <c r="B10" s="24" t="s">
        <v>164</v>
      </c>
      <c r="C10" s="24">
        <v>33.43</v>
      </c>
      <c r="D10" s="26">
        <v>0.1</v>
      </c>
      <c r="E10" s="14">
        <v>30.09</v>
      </c>
      <c r="F10" s="26">
        <v>0.15</v>
      </c>
      <c r="G10" s="14">
        <v>28.42</v>
      </c>
      <c r="H10" s="27">
        <v>4</v>
      </c>
      <c r="I10" s="28">
        <v>0.2</v>
      </c>
      <c r="J10" s="29">
        <v>26.74</v>
      </c>
      <c r="K10" s="27">
        <v>8</v>
      </c>
    </row>
    <row r="11" spans="1:11" x14ac:dyDescent="0.25">
      <c r="A11" s="24">
        <v>1930</v>
      </c>
      <c r="B11" s="24" t="s">
        <v>124</v>
      </c>
      <c r="C11" s="24"/>
      <c r="D11" s="26">
        <v>7.0000000000000007E-2</v>
      </c>
      <c r="E11" s="25">
        <v>0.74263280000000009</v>
      </c>
      <c r="F11" s="26">
        <v>0.21</v>
      </c>
      <c r="G11" s="19">
        <v>0</v>
      </c>
      <c r="H11" s="27">
        <v>0</v>
      </c>
      <c r="I11" s="28">
        <v>0.21</v>
      </c>
      <c r="J11" s="19">
        <v>0</v>
      </c>
      <c r="K11" s="27">
        <v>60</v>
      </c>
    </row>
    <row r="12" spans="1:11" x14ac:dyDescent="0.25">
      <c r="A12" s="24">
        <v>1958</v>
      </c>
      <c r="B12" s="24" t="s">
        <v>155</v>
      </c>
      <c r="C12" s="24">
        <v>49.6</v>
      </c>
      <c r="D12" s="26">
        <v>0.15</v>
      </c>
      <c r="E12" s="14">
        <v>44.557968000000002</v>
      </c>
      <c r="F12" s="26">
        <v>0</v>
      </c>
      <c r="G12" s="19">
        <v>0</v>
      </c>
      <c r="H12" s="27">
        <v>0</v>
      </c>
      <c r="I12" s="28">
        <v>0</v>
      </c>
      <c r="J12" s="19">
        <v>0</v>
      </c>
      <c r="K12" s="27">
        <v>0</v>
      </c>
    </row>
    <row r="13" spans="1:11" x14ac:dyDescent="0.25">
      <c r="A13" s="24">
        <v>3045</v>
      </c>
      <c r="B13" s="24" t="s">
        <v>131</v>
      </c>
      <c r="C13" s="24">
        <v>22.07</v>
      </c>
      <c r="D13" s="26">
        <v>7.0000000000000007E-2</v>
      </c>
      <c r="E13" s="14">
        <v>22.69</v>
      </c>
      <c r="F13" s="26">
        <v>0.09</v>
      </c>
      <c r="G13" s="14">
        <v>22.29</v>
      </c>
      <c r="H13" s="27">
        <v>5</v>
      </c>
      <c r="I13" s="28">
        <v>0.11</v>
      </c>
      <c r="J13" s="29">
        <v>21.9</v>
      </c>
      <c r="K13" s="27">
        <v>10</v>
      </c>
    </row>
    <row r="14" spans="1:11" x14ac:dyDescent="0.25">
      <c r="A14" s="24">
        <v>3140</v>
      </c>
      <c r="B14" s="24" t="s">
        <v>160</v>
      </c>
      <c r="C14" s="24">
        <v>321.52999999999997</v>
      </c>
      <c r="D14" s="26">
        <v>0.09</v>
      </c>
      <c r="E14" s="14">
        <v>309.67133200000001</v>
      </c>
      <c r="F14" s="26">
        <v>0</v>
      </c>
      <c r="G14" s="19">
        <v>0</v>
      </c>
      <c r="H14" s="27">
        <v>0</v>
      </c>
      <c r="I14" s="28">
        <v>0</v>
      </c>
      <c r="J14" s="19">
        <v>0</v>
      </c>
      <c r="K14" s="27">
        <v>0</v>
      </c>
    </row>
    <row r="15" spans="1:11" x14ac:dyDescent="0.25">
      <c r="A15" s="24">
        <v>5346</v>
      </c>
      <c r="B15" s="24" t="s">
        <v>165</v>
      </c>
      <c r="C15" s="24">
        <v>56.75</v>
      </c>
      <c r="D15" s="26">
        <v>0.23</v>
      </c>
      <c r="E15" s="14">
        <v>43.7</v>
      </c>
      <c r="F15" s="26">
        <v>0</v>
      </c>
      <c r="G15" s="19">
        <v>0</v>
      </c>
      <c r="H15" s="27">
        <v>0</v>
      </c>
      <c r="I15" s="28">
        <v>0</v>
      </c>
      <c r="J15" s="19">
        <v>0</v>
      </c>
      <c r="K15" s="27">
        <v>0</v>
      </c>
    </row>
    <row r="16" spans="1:11" x14ac:dyDescent="0.25">
      <c r="A16" s="24">
        <v>5796</v>
      </c>
      <c r="B16" s="24" t="s">
        <v>126</v>
      </c>
      <c r="C16" s="24">
        <v>14.82</v>
      </c>
      <c r="D16" s="26">
        <v>0.12</v>
      </c>
      <c r="E16" s="14">
        <v>14.575944</v>
      </c>
      <c r="F16" s="26">
        <v>0</v>
      </c>
      <c r="G16" s="19">
        <v>0</v>
      </c>
      <c r="H16" s="27">
        <v>0</v>
      </c>
      <c r="I16" s="28">
        <v>0</v>
      </c>
      <c r="J16" s="19">
        <v>0</v>
      </c>
      <c r="K16" s="27">
        <v>0</v>
      </c>
    </row>
    <row r="17" spans="1:11" x14ac:dyDescent="0.25">
      <c r="A17" s="24">
        <v>6325</v>
      </c>
      <c r="B17" s="24" t="s">
        <v>115</v>
      </c>
      <c r="C17" s="24">
        <v>45.48</v>
      </c>
      <c r="D17" s="26">
        <v>7.0000000000000007E-2</v>
      </c>
      <c r="E17" s="14">
        <v>46.476039999999998</v>
      </c>
      <c r="F17" s="26">
        <v>0.09</v>
      </c>
      <c r="G17" s="14">
        <v>45.743572</v>
      </c>
      <c r="H17" s="27">
        <v>2</v>
      </c>
      <c r="I17" s="28">
        <v>0.11</v>
      </c>
      <c r="J17" s="29">
        <v>45.011104000000003</v>
      </c>
      <c r="K17" s="27">
        <v>3</v>
      </c>
    </row>
    <row r="18" spans="1:11" x14ac:dyDescent="0.25">
      <c r="A18" s="24">
        <v>6326</v>
      </c>
      <c r="B18" s="24" t="s">
        <v>117</v>
      </c>
      <c r="C18" s="24">
        <v>68.27</v>
      </c>
      <c r="D18" s="26">
        <v>0.1</v>
      </c>
      <c r="E18" s="14">
        <v>68.245311999999998</v>
      </c>
      <c r="F18" s="26">
        <v>0</v>
      </c>
      <c r="G18" s="19">
        <v>0</v>
      </c>
      <c r="H18" s="27">
        <v>0</v>
      </c>
      <c r="I18" s="28">
        <v>0</v>
      </c>
      <c r="J18" s="19">
        <v>0</v>
      </c>
      <c r="K18" s="27">
        <v>0</v>
      </c>
    </row>
    <row r="19" spans="1:11" x14ac:dyDescent="0.25">
      <c r="A19" s="24">
        <v>6327</v>
      </c>
      <c r="B19" s="24" t="s">
        <v>118</v>
      </c>
      <c r="C19" s="24">
        <v>22.71</v>
      </c>
      <c r="D19" s="26">
        <v>7.0000000000000007E-2</v>
      </c>
      <c r="E19" s="14">
        <v>25.230575999999999</v>
      </c>
      <c r="F19" s="26">
        <v>0.09</v>
      </c>
      <c r="G19" s="14">
        <v>24.868915999999999</v>
      </c>
      <c r="H19" s="27">
        <v>2</v>
      </c>
      <c r="I19" s="28">
        <v>0.11</v>
      </c>
      <c r="J19" s="29">
        <v>24.498107999999998</v>
      </c>
      <c r="K19" s="27">
        <v>3</v>
      </c>
    </row>
    <row r="20" spans="1:11" x14ac:dyDescent="0.25">
      <c r="A20" s="24">
        <v>6647</v>
      </c>
      <c r="B20" s="24" t="s">
        <v>152</v>
      </c>
      <c r="C20" s="24">
        <v>101.65</v>
      </c>
      <c r="D20" s="26">
        <v>0.09</v>
      </c>
      <c r="E20" s="14">
        <v>92.5</v>
      </c>
      <c r="F20" s="26">
        <v>0</v>
      </c>
      <c r="G20" s="19">
        <v>0</v>
      </c>
      <c r="H20" s="27">
        <v>0</v>
      </c>
      <c r="I20" s="28">
        <v>0</v>
      </c>
      <c r="J20" s="19">
        <v>0</v>
      </c>
      <c r="K20" s="27">
        <v>0</v>
      </c>
    </row>
    <row r="21" spans="1:11" x14ac:dyDescent="0.25">
      <c r="A21" s="24">
        <v>6825</v>
      </c>
      <c r="B21" s="24" t="s">
        <v>119</v>
      </c>
      <c r="C21" s="24">
        <v>55.39</v>
      </c>
      <c r="D21" s="26">
        <v>7.0000000000000007E-2</v>
      </c>
      <c r="E21" s="14">
        <v>53.941347999999998</v>
      </c>
      <c r="F21" s="26">
        <v>0.09</v>
      </c>
      <c r="G21" s="14">
        <v>53.045920000000002</v>
      </c>
      <c r="H21" s="27">
        <v>2</v>
      </c>
      <c r="I21" s="28">
        <v>0.11</v>
      </c>
      <c r="J21" s="29">
        <v>52.159640000000003</v>
      </c>
      <c r="K21" s="27">
        <v>3</v>
      </c>
    </row>
    <row r="22" spans="1:11" x14ac:dyDescent="0.25">
      <c r="A22" s="24">
        <v>6842</v>
      </c>
      <c r="B22" s="24" t="s">
        <v>127</v>
      </c>
      <c r="C22" s="24">
        <v>13.23</v>
      </c>
      <c r="D22" s="26">
        <v>0.15</v>
      </c>
      <c r="E22" s="14">
        <v>11.798272000000001</v>
      </c>
      <c r="F22" s="26">
        <v>0</v>
      </c>
      <c r="G22" s="19">
        <v>0</v>
      </c>
      <c r="H22" s="27">
        <v>0</v>
      </c>
      <c r="I22" s="28">
        <v>0</v>
      </c>
      <c r="J22" s="19">
        <v>0</v>
      </c>
      <c r="K22" s="27">
        <v>0</v>
      </c>
    </row>
    <row r="23" spans="1:11" x14ac:dyDescent="0.25">
      <c r="A23" s="24">
        <v>6843</v>
      </c>
      <c r="B23" s="24" t="s">
        <v>128</v>
      </c>
      <c r="C23" s="24">
        <v>24.21</v>
      </c>
      <c r="D23" s="26">
        <v>0.15</v>
      </c>
      <c r="E23" s="14">
        <v>23.352595999999998</v>
      </c>
      <c r="F23" s="26">
        <v>0</v>
      </c>
      <c r="G23" s="19">
        <v>0</v>
      </c>
      <c r="H23" s="27">
        <v>0</v>
      </c>
      <c r="I23" s="28">
        <v>0</v>
      </c>
      <c r="J23" s="19">
        <v>0</v>
      </c>
      <c r="K23" s="27">
        <v>0</v>
      </c>
    </row>
    <row r="24" spans="1:11" x14ac:dyDescent="0.25">
      <c r="A24" s="24">
        <v>7536</v>
      </c>
      <c r="B24" s="24" t="s">
        <v>137</v>
      </c>
      <c r="C24" s="24">
        <v>56.75</v>
      </c>
      <c r="D24" s="26">
        <v>0.1</v>
      </c>
      <c r="E24" s="14">
        <v>43.7</v>
      </c>
      <c r="F24" s="26">
        <v>0</v>
      </c>
      <c r="G24" s="19">
        <v>0</v>
      </c>
      <c r="H24" s="27">
        <v>0</v>
      </c>
      <c r="I24" s="28">
        <v>0</v>
      </c>
      <c r="J24" s="19">
        <v>0</v>
      </c>
      <c r="K24" s="27">
        <v>0</v>
      </c>
    </row>
    <row r="25" spans="1:11" x14ac:dyDescent="0.25">
      <c r="A25" s="24">
        <v>10671</v>
      </c>
      <c r="B25" s="24" t="s">
        <v>161</v>
      </c>
      <c r="C25" s="24">
        <v>35.64</v>
      </c>
      <c r="D25" s="26">
        <v>0.09</v>
      </c>
      <c r="E25" s="14">
        <v>34.136963999999999</v>
      </c>
      <c r="F25" s="26">
        <v>0</v>
      </c>
      <c r="G25" s="19">
        <v>0</v>
      </c>
      <c r="H25" s="27">
        <v>0</v>
      </c>
      <c r="I25" s="28">
        <v>0</v>
      </c>
      <c r="J25" s="19">
        <v>0</v>
      </c>
      <c r="K25" s="27">
        <v>0</v>
      </c>
    </row>
    <row r="26" spans="1:11" x14ac:dyDescent="0.25">
      <c r="A26" s="24">
        <v>20513</v>
      </c>
      <c r="B26" s="24" t="s">
        <v>156</v>
      </c>
      <c r="C26" s="24">
        <v>19.55</v>
      </c>
      <c r="D26" s="26">
        <v>0.08</v>
      </c>
      <c r="E26" s="14">
        <v>18.817252</v>
      </c>
      <c r="F26" s="26">
        <v>0.1</v>
      </c>
      <c r="G26" s="14">
        <v>18.501332000000001</v>
      </c>
      <c r="H26" s="27">
        <v>6</v>
      </c>
      <c r="I26" s="28">
        <v>0.12</v>
      </c>
      <c r="J26" s="29">
        <v>18.184560000000001</v>
      </c>
      <c r="K26" s="27">
        <v>12</v>
      </c>
    </row>
    <row r="27" spans="1:11" x14ac:dyDescent="0.25">
      <c r="A27" s="24">
        <v>21487</v>
      </c>
      <c r="B27" s="24" t="s">
        <v>123</v>
      </c>
      <c r="C27" s="24">
        <v>22.77</v>
      </c>
      <c r="D27" s="26">
        <v>0.12</v>
      </c>
      <c r="E27" s="14">
        <v>21.242591999999998</v>
      </c>
      <c r="F27" s="26">
        <v>0.35</v>
      </c>
      <c r="G27" s="14">
        <v>17.029039999999998</v>
      </c>
      <c r="H27" s="27">
        <v>60</v>
      </c>
      <c r="I27" s="28">
        <v>0.45</v>
      </c>
      <c r="J27" s="29">
        <v>15.193296</v>
      </c>
      <c r="K27" s="27">
        <v>120</v>
      </c>
    </row>
    <row r="28" spans="1:11" x14ac:dyDescent="0.25">
      <c r="A28" s="24">
        <v>30730</v>
      </c>
      <c r="B28" s="24" t="s">
        <v>120</v>
      </c>
      <c r="C28" s="24">
        <v>30.45</v>
      </c>
      <c r="D28" s="26">
        <v>7.0000000000000007E-2</v>
      </c>
      <c r="E28" s="14">
        <v>29.987136</v>
      </c>
      <c r="F28" s="26">
        <v>0.09</v>
      </c>
      <c r="G28" s="14">
        <v>29.499108</v>
      </c>
      <c r="H28" s="27">
        <v>3</v>
      </c>
      <c r="I28" s="28">
        <v>0.11</v>
      </c>
      <c r="J28" s="29">
        <v>29.01108</v>
      </c>
      <c r="K28" s="27">
        <v>6</v>
      </c>
    </row>
    <row r="29" spans="1:11" x14ac:dyDescent="0.25">
      <c r="A29" s="24">
        <v>33463</v>
      </c>
      <c r="B29" s="24" t="s">
        <v>166</v>
      </c>
      <c r="C29" s="24">
        <v>51.84</v>
      </c>
      <c r="D29" s="26">
        <v>0.09</v>
      </c>
      <c r="E29" s="14">
        <v>47.17</v>
      </c>
      <c r="F29" s="26">
        <v>0</v>
      </c>
      <c r="G29" s="19">
        <v>0</v>
      </c>
      <c r="H29" s="27">
        <v>0</v>
      </c>
      <c r="I29" s="28">
        <v>0</v>
      </c>
      <c r="J29" s="19">
        <v>0</v>
      </c>
      <c r="K29" s="27">
        <v>0</v>
      </c>
    </row>
    <row r="30" spans="1:11" x14ac:dyDescent="0.25">
      <c r="A30" s="24">
        <v>36381</v>
      </c>
      <c r="B30" s="24" t="s">
        <v>145</v>
      </c>
      <c r="C30" s="24">
        <v>39.31</v>
      </c>
      <c r="D30" s="26">
        <v>0.11</v>
      </c>
      <c r="E30" s="14">
        <v>34.99</v>
      </c>
      <c r="F30" s="26">
        <v>0.15</v>
      </c>
      <c r="G30" s="14">
        <v>33.409999999999997</v>
      </c>
      <c r="H30" s="27">
        <v>6</v>
      </c>
      <c r="I30" s="28">
        <v>0.17</v>
      </c>
      <c r="J30" s="29">
        <v>32.630000000000003</v>
      </c>
      <c r="K30" s="27">
        <v>14</v>
      </c>
    </row>
    <row r="31" spans="1:11" x14ac:dyDescent="0.25">
      <c r="A31" s="24">
        <v>36957</v>
      </c>
      <c r="B31" s="24" t="s">
        <v>156</v>
      </c>
      <c r="C31" s="24">
        <v>28.56</v>
      </c>
      <c r="D31" s="26">
        <v>0</v>
      </c>
      <c r="E31" s="14">
        <v>0</v>
      </c>
      <c r="F31" s="26">
        <v>0</v>
      </c>
      <c r="G31" s="19">
        <v>0</v>
      </c>
      <c r="H31" s="27">
        <v>0</v>
      </c>
      <c r="I31" s="28">
        <v>0</v>
      </c>
      <c r="J31" s="19">
        <v>0</v>
      </c>
      <c r="K31" s="27">
        <v>0</v>
      </c>
    </row>
    <row r="32" spans="1:11" x14ac:dyDescent="0.25">
      <c r="A32" s="24">
        <v>36958</v>
      </c>
      <c r="B32" s="24" t="s">
        <v>157</v>
      </c>
      <c r="C32" s="24">
        <v>298.07</v>
      </c>
      <c r="D32" s="26">
        <v>0.11</v>
      </c>
      <c r="E32" s="14">
        <v>281.90814399999999</v>
      </c>
      <c r="F32" s="26">
        <v>0</v>
      </c>
      <c r="G32" s="19">
        <v>0</v>
      </c>
      <c r="H32" s="27">
        <v>0</v>
      </c>
      <c r="I32" s="28">
        <v>0</v>
      </c>
      <c r="J32" s="19">
        <v>0</v>
      </c>
      <c r="K32" s="27">
        <v>0</v>
      </c>
    </row>
    <row r="33" spans="1:11" x14ac:dyDescent="0.25">
      <c r="A33" s="24">
        <v>40550</v>
      </c>
      <c r="B33" s="24" t="s">
        <v>132</v>
      </c>
      <c r="C33" s="24">
        <v>15.17</v>
      </c>
      <c r="D33" s="26">
        <v>7.0000000000000007E-2</v>
      </c>
      <c r="E33" s="14">
        <v>14.887828000000001</v>
      </c>
      <c r="F33" s="26">
        <v>0</v>
      </c>
      <c r="G33" s="19">
        <v>0</v>
      </c>
      <c r="H33" s="27">
        <v>0</v>
      </c>
      <c r="I33" s="28">
        <v>0</v>
      </c>
      <c r="J33" s="19">
        <v>0</v>
      </c>
      <c r="K33" s="27">
        <v>0</v>
      </c>
    </row>
    <row r="34" spans="1:11" x14ac:dyDescent="0.25">
      <c r="A34" s="24">
        <v>41036</v>
      </c>
      <c r="B34" s="24" t="s">
        <v>149</v>
      </c>
      <c r="C34" s="24">
        <v>39.729999999999997</v>
      </c>
      <c r="D34" s="26">
        <v>0.11</v>
      </c>
      <c r="E34" s="14">
        <v>35.36</v>
      </c>
      <c r="F34" s="26">
        <v>0.15</v>
      </c>
      <c r="G34" s="14">
        <v>33.770000000000003</v>
      </c>
      <c r="H34" s="27">
        <v>5</v>
      </c>
      <c r="I34" s="28">
        <v>0.17</v>
      </c>
      <c r="J34" s="29">
        <v>32.979999999999997</v>
      </c>
      <c r="K34" s="27">
        <v>10</v>
      </c>
    </row>
    <row r="35" spans="1:11" x14ac:dyDescent="0.25">
      <c r="A35" s="24">
        <v>41533</v>
      </c>
      <c r="B35" s="24" t="s">
        <v>134</v>
      </c>
      <c r="C35" s="24">
        <v>35.700000000000003</v>
      </c>
      <c r="D35" s="26">
        <v>0.09</v>
      </c>
      <c r="E35" s="14">
        <v>34.501359999999998</v>
      </c>
      <c r="F35" s="26">
        <v>0.11</v>
      </c>
      <c r="G35" s="14">
        <v>184.91811200000001</v>
      </c>
      <c r="H35" s="27">
        <v>2</v>
      </c>
      <c r="I35" s="28">
        <v>0.13</v>
      </c>
      <c r="J35" s="29">
        <v>181.798688</v>
      </c>
      <c r="K35" s="27">
        <v>4</v>
      </c>
    </row>
    <row r="36" spans="1:11" x14ac:dyDescent="0.25">
      <c r="A36" s="24">
        <v>41802</v>
      </c>
      <c r="B36" s="24" t="s">
        <v>135</v>
      </c>
      <c r="C36" s="24">
        <v>18.940000000000001</v>
      </c>
      <c r="D36" s="26">
        <v>0.08</v>
      </c>
      <c r="E36" s="14">
        <v>17.995816000000001</v>
      </c>
      <c r="F36" s="26">
        <v>0.1</v>
      </c>
      <c r="G36" s="14">
        <v>17.697340000000001</v>
      </c>
      <c r="H36" s="27">
        <v>30</v>
      </c>
      <c r="I36" s="28">
        <v>0.12</v>
      </c>
      <c r="J36" s="29">
        <v>17.389716</v>
      </c>
      <c r="K36" s="27">
        <v>60</v>
      </c>
    </row>
    <row r="37" spans="1:11" x14ac:dyDescent="0.25">
      <c r="A37" s="24">
        <v>43102</v>
      </c>
      <c r="B37" s="24" t="s">
        <v>151</v>
      </c>
      <c r="C37" s="24">
        <v>35.85</v>
      </c>
      <c r="D37" s="26">
        <v>0.09</v>
      </c>
      <c r="E37" s="14">
        <v>33.730775999999999</v>
      </c>
      <c r="F37" s="26">
        <v>0</v>
      </c>
      <c r="G37" s="19">
        <v>0</v>
      </c>
      <c r="H37" s="27">
        <v>0</v>
      </c>
      <c r="I37" s="28">
        <v>0</v>
      </c>
      <c r="J37" s="19">
        <v>0</v>
      </c>
      <c r="K37" s="27">
        <v>0</v>
      </c>
    </row>
    <row r="38" spans="1:11" x14ac:dyDescent="0.25">
      <c r="A38" s="24">
        <v>46785</v>
      </c>
      <c r="B38" s="24" t="s">
        <v>146</v>
      </c>
      <c r="C38" s="24">
        <v>62.55</v>
      </c>
      <c r="D38" s="26">
        <v>0.11</v>
      </c>
      <c r="E38" s="14">
        <v>55.67</v>
      </c>
      <c r="F38" s="26">
        <v>0.15</v>
      </c>
      <c r="G38" s="14">
        <v>53.17</v>
      </c>
      <c r="H38" s="27">
        <v>3</v>
      </c>
      <c r="I38" s="28">
        <v>0.17</v>
      </c>
      <c r="J38" s="29">
        <v>51.92</v>
      </c>
      <c r="K38" s="27">
        <v>4</v>
      </c>
    </row>
    <row r="39" spans="1:11" x14ac:dyDescent="0.25">
      <c r="A39" s="24">
        <v>47086</v>
      </c>
      <c r="B39" s="24" t="s">
        <v>133</v>
      </c>
      <c r="C39" s="24">
        <v>14.82</v>
      </c>
      <c r="D39" s="26">
        <v>7.0000000000000007E-2</v>
      </c>
      <c r="E39" s="14">
        <v>14.575944</v>
      </c>
      <c r="F39" s="26">
        <v>0.09</v>
      </c>
      <c r="G39" s="14">
        <v>14.340652</v>
      </c>
      <c r="H39" s="27">
        <v>4</v>
      </c>
      <c r="I39" s="28">
        <v>0.11</v>
      </c>
      <c r="J39" s="29">
        <v>14.096212</v>
      </c>
      <c r="K39" s="27">
        <v>8</v>
      </c>
    </row>
    <row r="40" spans="1:11" x14ac:dyDescent="0.25">
      <c r="A40" s="24">
        <v>47552</v>
      </c>
      <c r="B40" s="24" t="s">
        <v>141</v>
      </c>
      <c r="C40" s="24">
        <v>14.73</v>
      </c>
      <c r="D40" s="26">
        <v>7.0000000000000007E-2</v>
      </c>
      <c r="E40" s="14">
        <v>14.392760000000001</v>
      </c>
      <c r="F40" s="26">
        <v>0.11</v>
      </c>
      <c r="G40" s="14">
        <v>13.913028000000001</v>
      </c>
      <c r="H40" s="27">
        <v>3</v>
      </c>
      <c r="I40" s="28">
        <v>0.12</v>
      </c>
      <c r="J40" s="29">
        <v>13.795807999999999</v>
      </c>
      <c r="K40" s="27">
        <v>6</v>
      </c>
    </row>
    <row r="41" spans="1:11" x14ac:dyDescent="0.25">
      <c r="A41" s="24">
        <v>48764</v>
      </c>
      <c r="B41" s="24" t="s">
        <v>154</v>
      </c>
      <c r="C41" s="24">
        <v>132.27000000000001</v>
      </c>
      <c r="D41" s="26">
        <v>0.09</v>
      </c>
      <c r="E41" s="14">
        <v>120.37</v>
      </c>
      <c r="F41" s="26">
        <v>0</v>
      </c>
      <c r="G41" s="19">
        <v>0</v>
      </c>
      <c r="H41" s="27">
        <v>0</v>
      </c>
      <c r="I41" s="28">
        <v>0</v>
      </c>
      <c r="J41" s="19">
        <v>0</v>
      </c>
      <c r="K41" s="27">
        <v>0</v>
      </c>
    </row>
    <row r="42" spans="1:11" x14ac:dyDescent="0.25">
      <c r="A42" s="24">
        <v>51973</v>
      </c>
      <c r="B42" s="24" t="s">
        <v>142</v>
      </c>
      <c r="C42" s="24">
        <v>23.86</v>
      </c>
      <c r="D42" s="26">
        <v>7.0000000000000007E-2</v>
      </c>
      <c r="E42" s="14">
        <v>23.189412000000001</v>
      </c>
      <c r="F42" s="26">
        <v>0.11</v>
      </c>
      <c r="G42" s="14">
        <v>22.430351999999999</v>
      </c>
      <c r="H42" s="27">
        <v>3</v>
      </c>
      <c r="I42" s="28">
        <v>0.12</v>
      </c>
      <c r="J42" s="29">
        <v>22.230799999999999</v>
      </c>
      <c r="K42" s="27">
        <v>4</v>
      </c>
    </row>
    <row r="43" spans="1:11" x14ac:dyDescent="0.25">
      <c r="A43" s="24">
        <v>54625</v>
      </c>
      <c r="B43" s="24" t="s">
        <v>158</v>
      </c>
      <c r="C43" s="24">
        <v>35.700000000000003</v>
      </c>
      <c r="D43" s="26">
        <v>7.0000000000000007E-2</v>
      </c>
      <c r="E43" s="14">
        <v>34.501359999999998</v>
      </c>
      <c r="F43" s="26">
        <v>0.09</v>
      </c>
      <c r="G43" s="14">
        <v>33.921852000000001</v>
      </c>
      <c r="H43" s="27">
        <v>4</v>
      </c>
      <c r="I43" s="28">
        <v>0.11</v>
      </c>
      <c r="J43" s="29">
        <v>33.343195999999999</v>
      </c>
      <c r="K43" s="27">
        <v>6</v>
      </c>
    </row>
    <row r="44" spans="1:11" x14ac:dyDescent="0.25">
      <c r="A44" s="24">
        <v>55156</v>
      </c>
      <c r="B44" s="24" t="s">
        <v>148</v>
      </c>
      <c r="C44" s="24">
        <v>63.59</v>
      </c>
      <c r="D44" s="26">
        <v>0.11</v>
      </c>
      <c r="E44" s="14">
        <v>56.6</v>
      </c>
      <c r="F44" s="26">
        <v>0.15</v>
      </c>
      <c r="G44" s="14">
        <v>54.05</v>
      </c>
      <c r="H44" s="27">
        <v>3</v>
      </c>
      <c r="I44" s="28">
        <v>0.17</v>
      </c>
      <c r="J44" s="29">
        <v>52.78</v>
      </c>
      <c r="K44" s="27">
        <v>4</v>
      </c>
    </row>
    <row r="45" spans="1:11" x14ac:dyDescent="0.25">
      <c r="A45" s="24">
        <v>55277</v>
      </c>
      <c r="B45" s="24" t="s">
        <v>144</v>
      </c>
      <c r="C45" s="24">
        <v>30</v>
      </c>
      <c r="D45" s="26">
        <v>0.09</v>
      </c>
      <c r="E45" s="14">
        <v>28.814039999999999</v>
      </c>
      <c r="F45" s="26">
        <v>0</v>
      </c>
      <c r="G45" s="19">
        <v>0</v>
      </c>
      <c r="H45" s="27">
        <v>0</v>
      </c>
      <c r="I45" s="28">
        <v>0</v>
      </c>
      <c r="J45" s="19">
        <v>0</v>
      </c>
      <c r="K45" s="27">
        <v>0</v>
      </c>
    </row>
    <row r="46" spans="1:11" x14ac:dyDescent="0.25">
      <c r="A46" s="24">
        <v>56314</v>
      </c>
      <c r="B46" s="24" t="s">
        <v>26</v>
      </c>
      <c r="C46" s="24">
        <v>30.45</v>
      </c>
      <c r="D46" s="26">
        <v>0.08</v>
      </c>
      <c r="E46" s="14">
        <v>29.523548000000002</v>
      </c>
      <c r="F46" s="26">
        <v>0.1</v>
      </c>
      <c r="G46" s="14">
        <v>29.034668</v>
      </c>
      <c r="H46" s="27">
        <v>3</v>
      </c>
      <c r="I46" s="28">
        <v>0.12</v>
      </c>
      <c r="J46" s="29">
        <v>28.54664</v>
      </c>
      <c r="K46" s="27">
        <v>6</v>
      </c>
    </row>
    <row r="47" spans="1:11" x14ac:dyDescent="0.25">
      <c r="A47" s="24">
        <v>56315</v>
      </c>
      <c r="B47" s="24" t="s">
        <v>121</v>
      </c>
      <c r="C47" s="24">
        <v>69.13</v>
      </c>
      <c r="D47" s="26">
        <v>0.08</v>
      </c>
      <c r="E47" s="14">
        <v>66.90128</v>
      </c>
      <c r="F47" s="26">
        <v>0.1</v>
      </c>
      <c r="G47" s="14">
        <v>65.788855999999996</v>
      </c>
      <c r="H47" s="27">
        <v>3</v>
      </c>
      <c r="I47" s="28">
        <v>0.12</v>
      </c>
      <c r="J47" s="29">
        <v>64.667283999999995</v>
      </c>
      <c r="K47" s="27">
        <v>4</v>
      </c>
    </row>
    <row r="48" spans="1:11" x14ac:dyDescent="0.25">
      <c r="A48" s="24">
        <v>56332</v>
      </c>
      <c r="B48" s="24" t="s">
        <v>116</v>
      </c>
      <c r="C48" s="24">
        <v>14.47</v>
      </c>
      <c r="D48" s="26">
        <v>0.1</v>
      </c>
      <c r="E48" s="14">
        <v>14.230696</v>
      </c>
      <c r="F48" s="26">
        <v>0</v>
      </c>
      <c r="G48" s="19">
        <v>0</v>
      </c>
      <c r="H48" s="27">
        <v>0</v>
      </c>
      <c r="I48" s="28">
        <v>0</v>
      </c>
      <c r="J48" s="19">
        <v>0</v>
      </c>
      <c r="K48" s="27">
        <v>0</v>
      </c>
    </row>
    <row r="49" spans="1:11" x14ac:dyDescent="0.25">
      <c r="A49" s="24">
        <v>56395</v>
      </c>
      <c r="B49" s="24" t="s">
        <v>153</v>
      </c>
      <c r="C49" s="24">
        <v>107.38</v>
      </c>
      <c r="D49" s="26">
        <v>0.09</v>
      </c>
      <c r="E49" s="14">
        <v>97.72</v>
      </c>
      <c r="F49" s="26">
        <v>0</v>
      </c>
      <c r="G49" s="19">
        <v>0</v>
      </c>
      <c r="H49" s="27">
        <v>0</v>
      </c>
      <c r="I49" s="28">
        <v>0</v>
      </c>
      <c r="J49" s="19">
        <v>0</v>
      </c>
      <c r="K49" s="27">
        <v>0</v>
      </c>
    </row>
    <row r="50" spans="1:11" x14ac:dyDescent="0.25">
      <c r="A50" s="24">
        <v>56662</v>
      </c>
      <c r="B50" s="24" t="s">
        <v>136</v>
      </c>
      <c r="C50" s="24">
        <v>13.23</v>
      </c>
      <c r="D50" s="26">
        <v>0.12</v>
      </c>
      <c r="E50" s="14">
        <v>11.798272000000001</v>
      </c>
      <c r="F50" s="26">
        <v>0.3</v>
      </c>
      <c r="G50" s="14">
        <v>9.8810479999999998</v>
      </c>
      <c r="H50" s="27">
        <v>10</v>
      </c>
      <c r="I50" s="28">
        <v>0.45</v>
      </c>
      <c r="J50" s="29">
        <v>8.2897440000000007</v>
      </c>
      <c r="K50" s="27">
        <v>20</v>
      </c>
    </row>
    <row r="51" spans="1:11" x14ac:dyDescent="0.25">
      <c r="A51" s="24">
        <v>57351</v>
      </c>
      <c r="B51" s="24" t="s">
        <v>138</v>
      </c>
      <c r="C51" s="24">
        <v>24.21</v>
      </c>
      <c r="D51" s="26">
        <v>0.08</v>
      </c>
      <c r="E51" s="14">
        <v>23.352595999999998</v>
      </c>
      <c r="F51" s="26">
        <v>0.13</v>
      </c>
      <c r="G51" s="14">
        <v>22.375688</v>
      </c>
      <c r="H51" s="27">
        <v>3</v>
      </c>
      <c r="I51" s="28">
        <v>0.16</v>
      </c>
      <c r="J51" s="29">
        <v>21.797032000000002</v>
      </c>
      <c r="K51" s="27">
        <v>4</v>
      </c>
    </row>
    <row r="52" spans="1:11" x14ac:dyDescent="0.25">
      <c r="A52" s="24">
        <v>57352</v>
      </c>
      <c r="B52" s="24" t="s">
        <v>140</v>
      </c>
      <c r="C52" s="24">
        <v>150.07</v>
      </c>
      <c r="D52" s="26">
        <v>0.1</v>
      </c>
      <c r="E52" s="14">
        <v>123.552888</v>
      </c>
      <c r="F52" s="26">
        <v>0</v>
      </c>
      <c r="G52" s="19">
        <v>0</v>
      </c>
      <c r="H52" s="27">
        <v>0</v>
      </c>
      <c r="I52" s="28">
        <v>0</v>
      </c>
      <c r="J52" s="19">
        <v>0</v>
      </c>
      <c r="K52" s="27">
        <v>0</v>
      </c>
    </row>
    <row r="53" spans="1:11" x14ac:dyDescent="0.25">
      <c r="A53" s="24">
        <v>57353</v>
      </c>
      <c r="B53" s="24" t="s">
        <v>139</v>
      </c>
      <c r="C53" s="24">
        <v>13.42</v>
      </c>
      <c r="D53" s="26">
        <v>0.08</v>
      </c>
      <c r="E53" s="14">
        <v>13.057779999999999</v>
      </c>
      <c r="F53" s="26">
        <v>0.13</v>
      </c>
      <c r="G53" s="14">
        <v>12.524864000000001</v>
      </c>
      <c r="H53" s="27">
        <v>4</v>
      </c>
      <c r="I53" s="28">
        <v>0.16</v>
      </c>
      <c r="J53" s="29">
        <v>12.189795999999999</v>
      </c>
      <c r="K53" s="27">
        <v>8</v>
      </c>
    </row>
    <row r="54" spans="1:11" x14ac:dyDescent="0.25">
      <c r="A54" s="24">
        <v>61315</v>
      </c>
      <c r="B54" s="24" t="s">
        <v>147</v>
      </c>
      <c r="C54" s="24">
        <v>29.71</v>
      </c>
      <c r="D54" s="26">
        <v>0.11</v>
      </c>
      <c r="E54" s="14">
        <v>26.44</v>
      </c>
      <c r="F54" s="26">
        <v>0.15</v>
      </c>
      <c r="G54" s="14">
        <v>25.25</v>
      </c>
      <c r="H54" s="27">
        <v>3</v>
      </c>
      <c r="I54" s="28">
        <v>0.17</v>
      </c>
      <c r="J54" s="29">
        <v>24.66</v>
      </c>
      <c r="K54" s="27">
        <v>4</v>
      </c>
    </row>
    <row r="55" spans="1:11" x14ac:dyDescent="0.25">
      <c r="A55" s="24">
        <v>61328</v>
      </c>
      <c r="B55" s="24" t="s">
        <v>122</v>
      </c>
      <c r="C55" s="24">
        <v>12.92</v>
      </c>
      <c r="D55" s="26">
        <v>0.17</v>
      </c>
      <c r="E55" s="14">
        <v>11.426655999999999</v>
      </c>
      <c r="F55" s="26">
        <v>0.35</v>
      </c>
      <c r="G55" s="14">
        <v>9.5643200000000004</v>
      </c>
      <c r="H55" s="27">
        <v>60</v>
      </c>
      <c r="I55" s="28">
        <v>0.45</v>
      </c>
      <c r="J55" s="29">
        <v>8.5242280000000008</v>
      </c>
      <c r="K55" s="27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433FC-F116-4361-B7C0-82FC45B88484}">
  <sheetPr codeName="Planilha4"/>
  <dimension ref="A1:S160"/>
  <sheetViews>
    <sheetView topLeftCell="D1" workbookViewId="0">
      <selection activeCell="N2" sqref="N2"/>
    </sheetView>
  </sheetViews>
  <sheetFormatPr defaultRowHeight="15" outlineLevelCol="1" x14ac:dyDescent="0.25"/>
  <cols>
    <col min="1" max="1" width="14" bestFit="1" customWidth="1"/>
    <col min="2" max="2" width="6.5703125" bestFit="1" customWidth="1"/>
    <col min="3" max="3" width="15.140625" bestFit="1" customWidth="1"/>
    <col min="4" max="4" width="41.5703125" bestFit="1" customWidth="1"/>
    <col min="5" max="5" width="18" bestFit="1" customWidth="1"/>
    <col min="6" max="6" width="13.42578125" bestFit="1" customWidth="1"/>
    <col min="7" max="7" width="12.140625" bestFit="1" customWidth="1"/>
    <col min="8" max="8" width="14" bestFit="1" customWidth="1"/>
    <col min="9" max="9" width="10.85546875" bestFit="1" customWidth="1"/>
    <col min="10" max="10" width="8.7109375" bestFit="1" customWidth="1"/>
    <col min="11" max="11" width="13.7109375" bestFit="1" customWidth="1" outlineLevel="1"/>
    <col min="12" max="12" width="13.140625" bestFit="1" customWidth="1" outlineLevel="1"/>
    <col min="13" max="13" width="8.7109375" bestFit="1" customWidth="1" outlineLevel="1"/>
    <col min="14" max="14" width="7.7109375" bestFit="1" customWidth="1" outlineLevel="1"/>
    <col min="15" max="15" width="11.7109375" bestFit="1" customWidth="1"/>
    <col min="16" max="16" width="9.28515625" hidden="1" customWidth="1"/>
    <col min="17" max="17" width="0" hidden="1" customWidth="1"/>
    <col min="18" max="18" width="5.7109375" hidden="1" customWidth="1"/>
    <col min="19" max="19" width="6.28515625" style="12" bestFit="1" customWidth="1"/>
  </cols>
  <sheetData>
    <row r="1" spans="1:19" x14ac:dyDescent="0.25">
      <c r="A1" s="1" t="s">
        <v>0</v>
      </c>
      <c r="B1" s="1" t="s">
        <v>104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9" x14ac:dyDescent="0.25">
      <c r="A2" s="1">
        <v>7891058004347</v>
      </c>
      <c r="B2" s="1">
        <v>56314</v>
      </c>
      <c r="C2" t="s">
        <v>25</v>
      </c>
      <c r="D2" t="s">
        <v>26</v>
      </c>
      <c r="E2" t="s">
        <v>27</v>
      </c>
      <c r="F2" s="1">
        <v>1</v>
      </c>
      <c r="G2" s="6">
        <v>0.08</v>
      </c>
      <c r="H2" s="8">
        <v>30.45</v>
      </c>
      <c r="I2" s="9">
        <v>0.08</v>
      </c>
      <c r="J2" s="8">
        <v>40.85</v>
      </c>
      <c r="K2" s="8">
        <v>2.3864519999999998</v>
      </c>
      <c r="L2" s="13">
        <v>8.5199999999999998E-2</v>
      </c>
      <c r="M2" s="8">
        <v>35.74</v>
      </c>
      <c r="N2" s="8">
        <v>3.9</v>
      </c>
      <c r="O2" s="8">
        <v>29.523548000000002</v>
      </c>
      <c r="P2" t="str">
        <f>B2&amp;G2</f>
        <v>563140,08</v>
      </c>
      <c r="R2">
        <f>IF(S2&gt;0,B2,0)</f>
        <v>0</v>
      </c>
      <c r="S2" s="12">
        <f>IF(E2="DEFAULT-FAIXA 2",F2,0)</f>
        <v>0</v>
      </c>
    </row>
    <row r="3" spans="1:19" x14ac:dyDescent="0.25">
      <c r="A3" s="1">
        <v>7891058004347</v>
      </c>
      <c r="B3" s="1">
        <v>56314</v>
      </c>
      <c r="C3" t="s">
        <v>25</v>
      </c>
      <c r="D3" t="s">
        <v>26</v>
      </c>
      <c r="E3" t="s">
        <v>98</v>
      </c>
      <c r="F3" s="1">
        <v>3</v>
      </c>
      <c r="G3" s="6">
        <v>0.1</v>
      </c>
      <c r="H3" s="8">
        <v>30.45</v>
      </c>
      <c r="I3" s="9">
        <v>0.1</v>
      </c>
      <c r="J3" s="8">
        <v>40.85</v>
      </c>
      <c r="K3" s="8">
        <v>2.3353320000000002</v>
      </c>
      <c r="L3" s="13">
        <v>8.5199999999999998E-2</v>
      </c>
      <c r="M3" s="8">
        <v>35.74</v>
      </c>
      <c r="N3" s="8">
        <v>3.96</v>
      </c>
      <c r="O3" s="8">
        <v>29.034668</v>
      </c>
      <c r="P3" t="str">
        <f t="shared" ref="P3:P66" si="0">B3&amp;G3</f>
        <v>563140,1</v>
      </c>
      <c r="R3">
        <f t="shared" ref="R3:R66" si="1">IF(S3&gt;0,B3,0)</f>
        <v>0</v>
      </c>
      <c r="S3" s="12">
        <f t="shared" ref="S3:S66" si="2">IF(E3="DEFAULT-FAIXA 2",F3,0)</f>
        <v>0</v>
      </c>
    </row>
    <row r="4" spans="1:19" x14ac:dyDescent="0.25">
      <c r="A4" s="1">
        <v>7891058004347</v>
      </c>
      <c r="B4" s="1">
        <v>56314</v>
      </c>
      <c r="C4" t="s">
        <v>25</v>
      </c>
      <c r="D4" t="s">
        <v>26</v>
      </c>
      <c r="E4" t="s">
        <v>99</v>
      </c>
      <c r="F4" s="1">
        <v>6</v>
      </c>
      <c r="G4" s="6">
        <v>0.12</v>
      </c>
      <c r="H4" s="8">
        <v>30.45</v>
      </c>
      <c r="I4" s="9">
        <v>0.12</v>
      </c>
      <c r="J4" s="8">
        <v>40.85</v>
      </c>
      <c r="K4" s="8">
        <v>2.2833600000000001</v>
      </c>
      <c r="L4" s="13">
        <v>8.5199999999999998E-2</v>
      </c>
      <c r="M4" s="8">
        <v>35.74</v>
      </c>
      <c r="N4" s="8">
        <v>4.03</v>
      </c>
      <c r="O4" s="8">
        <v>28.54664</v>
      </c>
      <c r="P4" t="str">
        <f t="shared" si="0"/>
        <v>563140,12</v>
      </c>
      <c r="R4">
        <f t="shared" si="1"/>
        <v>56314</v>
      </c>
      <c r="S4" s="12">
        <f t="shared" si="2"/>
        <v>6</v>
      </c>
    </row>
    <row r="5" spans="1:19" x14ac:dyDescent="0.25">
      <c r="A5" s="1">
        <v>7891058168049</v>
      </c>
      <c r="B5" s="1">
        <v>6325</v>
      </c>
      <c r="C5" t="s">
        <v>25</v>
      </c>
      <c r="D5" t="s">
        <v>28</v>
      </c>
      <c r="E5" t="s">
        <v>27</v>
      </c>
      <c r="F5" s="1">
        <v>1</v>
      </c>
      <c r="G5" s="6">
        <v>7.0000000000000007E-2</v>
      </c>
      <c r="H5" s="8">
        <v>45.48</v>
      </c>
      <c r="I5" s="9">
        <v>7.0000000000000007E-2</v>
      </c>
      <c r="J5" s="8">
        <v>61.01</v>
      </c>
      <c r="K5" s="8">
        <v>3.6039599999999998</v>
      </c>
      <c r="L5" s="13">
        <v>8.5199999999999998E-2</v>
      </c>
      <c r="M5" s="8">
        <v>63.7</v>
      </c>
      <c r="N5" s="8">
        <v>7.78</v>
      </c>
      <c r="O5" s="8">
        <v>46.476039999999998</v>
      </c>
      <c r="P5" t="str">
        <f t="shared" si="0"/>
        <v>63250,07</v>
      </c>
      <c r="R5">
        <f t="shared" si="1"/>
        <v>0</v>
      </c>
      <c r="S5" s="12">
        <f t="shared" si="2"/>
        <v>0</v>
      </c>
    </row>
    <row r="6" spans="1:19" x14ac:dyDescent="0.25">
      <c r="A6" s="1">
        <v>7891058168049</v>
      </c>
      <c r="B6" s="1">
        <v>6325</v>
      </c>
      <c r="C6" t="s">
        <v>25</v>
      </c>
      <c r="D6" t="s">
        <v>28</v>
      </c>
      <c r="E6" t="s">
        <v>98</v>
      </c>
      <c r="F6" s="1">
        <v>2</v>
      </c>
      <c r="G6" s="6">
        <v>0.09</v>
      </c>
      <c r="H6" s="8">
        <v>45.48</v>
      </c>
      <c r="I6" s="9">
        <v>0.09</v>
      </c>
      <c r="J6" s="8">
        <v>61.01</v>
      </c>
      <c r="K6" s="8">
        <v>3.5264280000000001</v>
      </c>
      <c r="L6" s="13">
        <v>8.5199999999999998E-2</v>
      </c>
      <c r="M6" s="8">
        <v>63.7</v>
      </c>
      <c r="N6" s="8">
        <v>7.88</v>
      </c>
      <c r="O6" s="8">
        <v>45.743572</v>
      </c>
      <c r="P6" t="str">
        <f t="shared" si="0"/>
        <v>63250,09</v>
      </c>
      <c r="R6">
        <f t="shared" si="1"/>
        <v>0</v>
      </c>
      <c r="S6" s="12">
        <f t="shared" si="2"/>
        <v>0</v>
      </c>
    </row>
    <row r="7" spans="1:19" x14ac:dyDescent="0.25">
      <c r="A7" s="1">
        <v>7891058168049</v>
      </c>
      <c r="B7" s="1">
        <v>6325</v>
      </c>
      <c r="C7" t="s">
        <v>25</v>
      </c>
      <c r="D7" t="s">
        <v>28</v>
      </c>
      <c r="E7" t="s">
        <v>99</v>
      </c>
      <c r="F7" s="1">
        <v>3</v>
      </c>
      <c r="G7" s="6">
        <v>0.11</v>
      </c>
      <c r="H7" s="8">
        <v>45.48</v>
      </c>
      <c r="I7" s="9">
        <v>0.11</v>
      </c>
      <c r="J7" s="8">
        <v>61.01</v>
      </c>
      <c r="K7" s="8">
        <v>3.448896</v>
      </c>
      <c r="L7" s="13">
        <v>8.5199999999999998E-2</v>
      </c>
      <c r="M7" s="8">
        <v>63.7</v>
      </c>
      <c r="N7" s="8">
        <v>7.98</v>
      </c>
      <c r="O7" s="8">
        <v>45.011104000000003</v>
      </c>
      <c r="P7" t="str">
        <f t="shared" si="0"/>
        <v>63250,11</v>
      </c>
      <c r="R7">
        <f t="shared" si="1"/>
        <v>6325</v>
      </c>
      <c r="S7" s="12">
        <f t="shared" si="2"/>
        <v>3</v>
      </c>
    </row>
    <row r="8" spans="1:19" x14ac:dyDescent="0.25">
      <c r="A8" s="1">
        <v>7891058002596</v>
      </c>
      <c r="B8" s="1">
        <v>56332</v>
      </c>
      <c r="C8" t="s">
        <v>25</v>
      </c>
      <c r="D8" t="s">
        <v>29</v>
      </c>
      <c r="E8" t="s">
        <v>27</v>
      </c>
      <c r="F8">
        <v>1</v>
      </c>
      <c r="G8" s="6">
        <v>0.1</v>
      </c>
      <c r="H8" s="8">
        <v>14.47</v>
      </c>
      <c r="I8" s="9">
        <v>0.1</v>
      </c>
      <c r="J8" s="8">
        <v>19.41</v>
      </c>
      <c r="K8" s="8">
        <v>1.1093040000000001</v>
      </c>
      <c r="L8" s="13">
        <v>8.5199999999999998E-2</v>
      </c>
      <c r="M8" s="8">
        <v>19.23</v>
      </c>
      <c r="N8" s="8">
        <v>2.3199999999999998</v>
      </c>
      <c r="O8" s="8">
        <v>14.230696</v>
      </c>
      <c r="P8" t="str">
        <f t="shared" si="0"/>
        <v>563320,1</v>
      </c>
      <c r="R8">
        <f t="shared" si="1"/>
        <v>0</v>
      </c>
      <c r="S8" s="12">
        <f t="shared" si="2"/>
        <v>0</v>
      </c>
    </row>
    <row r="9" spans="1:19" x14ac:dyDescent="0.25">
      <c r="A9" s="1">
        <v>7891058169015</v>
      </c>
      <c r="B9" s="1">
        <v>6326</v>
      </c>
      <c r="C9" t="s">
        <v>25</v>
      </c>
      <c r="D9" t="s">
        <v>30</v>
      </c>
      <c r="E9" t="s">
        <v>27</v>
      </c>
      <c r="F9">
        <v>1</v>
      </c>
      <c r="G9" s="6">
        <v>0.1</v>
      </c>
      <c r="H9" s="8">
        <v>68.27</v>
      </c>
      <c r="I9" s="9">
        <v>0.1</v>
      </c>
      <c r="J9" s="8">
        <v>91.58</v>
      </c>
      <c r="K9" s="8">
        <v>5.2346880000000002</v>
      </c>
      <c r="L9" s="13">
        <v>8.5199999999999998E-2</v>
      </c>
      <c r="M9" s="8">
        <v>96.34</v>
      </c>
      <c r="N9" s="8">
        <v>12.04</v>
      </c>
      <c r="O9" s="8">
        <v>68.245311999999998</v>
      </c>
      <c r="P9" t="str">
        <f t="shared" si="0"/>
        <v>63260,1</v>
      </c>
      <c r="R9">
        <f t="shared" si="1"/>
        <v>0</v>
      </c>
      <c r="S9" s="12">
        <f t="shared" si="2"/>
        <v>0</v>
      </c>
    </row>
    <row r="10" spans="1:19" x14ac:dyDescent="0.25">
      <c r="A10" s="1">
        <v>7891058024314</v>
      </c>
      <c r="B10" s="1">
        <v>6327</v>
      </c>
      <c r="C10" t="s">
        <v>25</v>
      </c>
      <c r="D10" t="s">
        <v>31</v>
      </c>
      <c r="E10" t="s">
        <v>27</v>
      </c>
      <c r="F10" s="1">
        <v>1</v>
      </c>
      <c r="G10" s="6">
        <v>7.0000000000000007E-2</v>
      </c>
      <c r="H10" s="8">
        <v>22.71</v>
      </c>
      <c r="I10" s="9">
        <v>7.0000000000000007E-2</v>
      </c>
      <c r="J10" s="8">
        <v>30.46</v>
      </c>
      <c r="K10" s="8">
        <v>1.7994239999999999</v>
      </c>
      <c r="L10" s="13">
        <v>8.5199999999999998E-2</v>
      </c>
      <c r="M10" s="8">
        <v>42.22</v>
      </c>
      <c r="N10" s="8">
        <v>5.91</v>
      </c>
      <c r="O10" s="8">
        <v>25.230575999999999</v>
      </c>
      <c r="P10" t="str">
        <f t="shared" si="0"/>
        <v>63270,07</v>
      </c>
      <c r="R10">
        <f t="shared" si="1"/>
        <v>0</v>
      </c>
      <c r="S10" s="12">
        <f t="shared" si="2"/>
        <v>0</v>
      </c>
    </row>
    <row r="11" spans="1:19" x14ac:dyDescent="0.25">
      <c r="A11" s="1">
        <v>7891058024314</v>
      </c>
      <c r="B11" s="1">
        <v>6327</v>
      </c>
      <c r="C11" t="s">
        <v>25</v>
      </c>
      <c r="D11" t="s">
        <v>31</v>
      </c>
      <c r="E11" t="s">
        <v>98</v>
      </c>
      <c r="F11" s="1">
        <v>2</v>
      </c>
      <c r="G11" s="6">
        <v>0.09</v>
      </c>
      <c r="H11" s="8">
        <v>22.71</v>
      </c>
      <c r="I11" s="9">
        <v>0.09</v>
      </c>
      <c r="J11" s="8">
        <v>30.46</v>
      </c>
      <c r="K11" s="8">
        <v>1.7610840000000001</v>
      </c>
      <c r="L11" s="13">
        <v>8.5199999999999998E-2</v>
      </c>
      <c r="M11" s="8">
        <v>42.22</v>
      </c>
      <c r="N11" s="8">
        <v>5.96</v>
      </c>
      <c r="O11" s="8">
        <v>24.868915999999999</v>
      </c>
      <c r="P11" t="str">
        <f t="shared" si="0"/>
        <v>63270,09</v>
      </c>
      <c r="R11">
        <f t="shared" si="1"/>
        <v>0</v>
      </c>
      <c r="S11" s="12">
        <f t="shared" si="2"/>
        <v>0</v>
      </c>
    </row>
    <row r="12" spans="1:19" x14ac:dyDescent="0.25">
      <c r="A12" s="1">
        <v>7891058024314</v>
      </c>
      <c r="B12" s="1">
        <v>6327</v>
      </c>
      <c r="C12" t="s">
        <v>25</v>
      </c>
      <c r="D12" t="s">
        <v>31</v>
      </c>
      <c r="E12" t="s">
        <v>99</v>
      </c>
      <c r="F12" s="1">
        <v>3</v>
      </c>
      <c r="G12" s="6">
        <v>0.11</v>
      </c>
      <c r="H12" s="8">
        <v>22.71</v>
      </c>
      <c r="I12" s="9">
        <v>0.11</v>
      </c>
      <c r="J12" s="8">
        <v>30.46</v>
      </c>
      <c r="K12" s="8">
        <v>1.721892</v>
      </c>
      <c r="L12" s="13">
        <v>8.5199999999999998E-2</v>
      </c>
      <c r="M12" s="8">
        <v>42.22</v>
      </c>
      <c r="N12" s="8">
        <v>6.01</v>
      </c>
      <c r="O12" s="8">
        <v>24.498107999999998</v>
      </c>
      <c r="P12" t="str">
        <f t="shared" si="0"/>
        <v>63270,11</v>
      </c>
      <c r="R12">
        <f t="shared" si="1"/>
        <v>6327</v>
      </c>
      <c r="S12" s="12">
        <f t="shared" si="2"/>
        <v>3</v>
      </c>
    </row>
    <row r="13" spans="1:19" x14ac:dyDescent="0.25">
      <c r="A13" s="1">
        <v>7891058006716</v>
      </c>
      <c r="B13" s="1">
        <v>6825</v>
      </c>
      <c r="C13" t="s">
        <v>25</v>
      </c>
      <c r="D13" t="s">
        <v>32</v>
      </c>
      <c r="E13" t="s">
        <v>27</v>
      </c>
      <c r="F13" s="1">
        <v>1</v>
      </c>
      <c r="G13" s="6">
        <v>7.0000000000000007E-2</v>
      </c>
      <c r="H13" s="8">
        <v>55.39</v>
      </c>
      <c r="I13" s="9">
        <v>7.0000000000000007E-2</v>
      </c>
      <c r="J13" s="8">
        <v>74.3</v>
      </c>
      <c r="K13" s="8">
        <v>4.3886520000000004</v>
      </c>
      <c r="L13" s="13">
        <v>8.5199999999999998E-2</v>
      </c>
      <c r="M13" s="8">
        <v>63.94</v>
      </c>
      <c r="N13" s="8">
        <v>6.82</v>
      </c>
      <c r="O13" s="8">
        <v>53.941347999999998</v>
      </c>
      <c r="P13" t="str">
        <f t="shared" si="0"/>
        <v>68250,07</v>
      </c>
      <c r="R13">
        <f t="shared" si="1"/>
        <v>0</v>
      </c>
      <c r="S13" s="12">
        <f t="shared" si="2"/>
        <v>0</v>
      </c>
    </row>
    <row r="14" spans="1:19" x14ac:dyDescent="0.25">
      <c r="A14" s="1">
        <v>7891058006716</v>
      </c>
      <c r="B14" s="1">
        <v>6825</v>
      </c>
      <c r="C14" t="s">
        <v>25</v>
      </c>
      <c r="D14" t="s">
        <v>32</v>
      </c>
      <c r="E14" t="s">
        <v>98</v>
      </c>
      <c r="F14" s="1">
        <v>2</v>
      </c>
      <c r="G14" s="6">
        <v>0.09</v>
      </c>
      <c r="H14" s="8">
        <v>55.39</v>
      </c>
      <c r="I14" s="9">
        <v>0.09</v>
      </c>
      <c r="J14" s="8">
        <v>74.3</v>
      </c>
      <c r="K14" s="8">
        <v>4.2940800000000001</v>
      </c>
      <c r="L14" s="13">
        <v>8.5199999999999998E-2</v>
      </c>
      <c r="M14" s="8">
        <v>63.94</v>
      </c>
      <c r="N14" s="8">
        <v>6.94</v>
      </c>
      <c r="O14" s="8">
        <v>53.045920000000002</v>
      </c>
      <c r="P14" t="str">
        <f t="shared" si="0"/>
        <v>68250,09</v>
      </c>
      <c r="R14">
        <f t="shared" si="1"/>
        <v>0</v>
      </c>
      <c r="S14" s="12">
        <f t="shared" si="2"/>
        <v>0</v>
      </c>
    </row>
    <row r="15" spans="1:19" x14ac:dyDescent="0.25">
      <c r="A15" s="1">
        <v>7891058006716</v>
      </c>
      <c r="B15" s="1">
        <v>6825</v>
      </c>
      <c r="C15" t="s">
        <v>25</v>
      </c>
      <c r="D15" t="s">
        <v>32</v>
      </c>
      <c r="E15" t="s">
        <v>99</v>
      </c>
      <c r="F15" s="1">
        <v>3</v>
      </c>
      <c r="G15" s="6">
        <v>0.11</v>
      </c>
      <c r="H15" s="8">
        <v>55.39</v>
      </c>
      <c r="I15" s="9">
        <v>0.11</v>
      </c>
      <c r="J15" s="8">
        <v>74.3</v>
      </c>
      <c r="K15" s="8">
        <v>4.2003599999999999</v>
      </c>
      <c r="L15" s="13">
        <v>8.5199999999999998E-2</v>
      </c>
      <c r="M15" s="8">
        <v>63.94</v>
      </c>
      <c r="N15" s="8">
        <v>7.06</v>
      </c>
      <c r="O15" s="8">
        <v>52.159640000000003</v>
      </c>
      <c r="P15" t="str">
        <f t="shared" si="0"/>
        <v>68250,11</v>
      </c>
      <c r="R15">
        <f t="shared" si="1"/>
        <v>6825</v>
      </c>
      <c r="S15" s="12">
        <f t="shared" si="2"/>
        <v>3</v>
      </c>
    </row>
    <row r="16" spans="1:19" x14ac:dyDescent="0.25">
      <c r="A16" s="1">
        <v>7891058002589</v>
      </c>
      <c r="B16" s="1">
        <v>30730</v>
      </c>
      <c r="C16" t="s">
        <v>25</v>
      </c>
      <c r="D16" t="s">
        <v>33</v>
      </c>
      <c r="E16" t="s">
        <v>27</v>
      </c>
      <c r="F16">
        <v>1</v>
      </c>
      <c r="G16" s="6">
        <v>7.0000000000000007E-2</v>
      </c>
      <c r="H16" s="8">
        <v>30.45</v>
      </c>
      <c r="I16" s="9">
        <v>7.0000000000000007E-2</v>
      </c>
      <c r="J16" s="8">
        <v>40.85</v>
      </c>
      <c r="K16" s="8">
        <v>2.4128639999999999</v>
      </c>
      <c r="L16" s="13">
        <v>8.5199999999999998E-2</v>
      </c>
      <c r="M16" s="8">
        <v>36.880000000000003</v>
      </c>
      <c r="N16" s="8">
        <v>4.08</v>
      </c>
      <c r="O16" s="8">
        <v>29.987136</v>
      </c>
      <c r="P16" t="str">
        <f t="shared" si="0"/>
        <v>307300,07</v>
      </c>
      <c r="R16">
        <f t="shared" si="1"/>
        <v>0</v>
      </c>
      <c r="S16" s="12">
        <f t="shared" si="2"/>
        <v>0</v>
      </c>
    </row>
    <row r="17" spans="1:19" x14ac:dyDescent="0.25">
      <c r="A17" s="1">
        <v>7891058002589</v>
      </c>
      <c r="B17" s="1">
        <v>30730</v>
      </c>
      <c r="C17" t="s">
        <v>25</v>
      </c>
      <c r="D17" t="s">
        <v>33</v>
      </c>
      <c r="E17" t="s">
        <v>98</v>
      </c>
      <c r="F17">
        <v>3</v>
      </c>
      <c r="G17" s="6">
        <v>0.09</v>
      </c>
      <c r="H17" s="8">
        <v>30.45</v>
      </c>
      <c r="I17" s="9">
        <v>0.09</v>
      </c>
      <c r="J17" s="8">
        <v>40.85</v>
      </c>
      <c r="K17" s="8">
        <v>2.3608920000000002</v>
      </c>
      <c r="L17" s="13">
        <v>8.5199999999999998E-2</v>
      </c>
      <c r="M17" s="8">
        <v>36.880000000000003</v>
      </c>
      <c r="N17" s="8">
        <v>4.1500000000000004</v>
      </c>
      <c r="O17" s="8">
        <v>29.499108</v>
      </c>
      <c r="P17" t="str">
        <f t="shared" si="0"/>
        <v>307300,09</v>
      </c>
      <c r="R17">
        <f t="shared" si="1"/>
        <v>0</v>
      </c>
      <c r="S17" s="12">
        <f t="shared" si="2"/>
        <v>0</v>
      </c>
    </row>
    <row r="18" spans="1:19" x14ac:dyDescent="0.25">
      <c r="A18" s="1">
        <v>7891058002589</v>
      </c>
      <c r="B18" s="1">
        <v>30730</v>
      </c>
      <c r="C18" t="s">
        <v>25</v>
      </c>
      <c r="D18" t="s">
        <v>33</v>
      </c>
      <c r="E18" t="s">
        <v>99</v>
      </c>
      <c r="F18">
        <v>6</v>
      </c>
      <c r="G18" s="6">
        <v>0.11</v>
      </c>
      <c r="H18" s="8">
        <v>30.45</v>
      </c>
      <c r="I18" s="9">
        <v>0.11</v>
      </c>
      <c r="J18" s="8">
        <v>40.85</v>
      </c>
      <c r="K18" s="8">
        <v>2.3089200000000001</v>
      </c>
      <c r="L18" s="13">
        <v>8.5199999999999998E-2</v>
      </c>
      <c r="M18" s="8">
        <v>36.880000000000003</v>
      </c>
      <c r="N18" s="8">
        <v>4.22</v>
      </c>
      <c r="O18" s="8">
        <v>29.01108</v>
      </c>
      <c r="P18" t="str">
        <f t="shared" si="0"/>
        <v>307300,11</v>
      </c>
      <c r="R18">
        <f t="shared" si="1"/>
        <v>30730</v>
      </c>
      <c r="S18" s="12">
        <f t="shared" si="2"/>
        <v>6</v>
      </c>
    </row>
    <row r="19" spans="1:19" x14ac:dyDescent="0.25">
      <c r="A19" s="1">
        <v>7891058004354</v>
      </c>
      <c r="B19" s="1">
        <v>56315</v>
      </c>
      <c r="C19" t="s">
        <v>25</v>
      </c>
      <c r="D19" t="s">
        <v>34</v>
      </c>
      <c r="E19" t="s">
        <v>27</v>
      </c>
      <c r="F19" s="1">
        <v>1</v>
      </c>
      <c r="G19" s="6">
        <v>0.08</v>
      </c>
      <c r="H19" s="8">
        <v>69.13</v>
      </c>
      <c r="I19" s="9">
        <v>0.08</v>
      </c>
      <c r="J19" s="8">
        <v>92.74</v>
      </c>
      <c r="K19" s="8">
        <v>5.4187200000000004</v>
      </c>
      <c r="L19" s="13">
        <v>8.5199999999999998E-2</v>
      </c>
      <c r="M19" s="8">
        <v>80.489999999999995</v>
      </c>
      <c r="N19" s="8">
        <v>8.7200000000000006</v>
      </c>
      <c r="O19" s="8">
        <v>66.90128</v>
      </c>
      <c r="P19" t="str">
        <f t="shared" si="0"/>
        <v>563150,08</v>
      </c>
      <c r="R19">
        <f t="shared" si="1"/>
        <v>0</v>
      </c>
      <c r="S19" s="12">
        <f t="shared" si="2"/>
        <v>0</v>
      </c>
    </row>
    <row r="20" spans="1:19" x14ac:dyDescent="0.25">
      <c r="A20" s="1">
        <v>7891058004354</v>
      </c>
      <c r="B20" s="1">
        <v>56315</v>
      </c>
      <c r="C20" t="s">
        <v>25</v>
      </c>
      <c r="D20" t="s">
        <v>34</v>
      </c>
      <c r="E20" t="s">
        <v>98</v>
      </c>
      <c r="F20" s="1">
        <v>3</v>
      </c>
      <c r="G20" s="6">
        <v>0.1</v>
      </c>
      <c r="H20" s="8">
        <v>69.13</v>
      </c>
      <c r="I20" s="9">
        <v>0.1</v>
      </c>
      <c r="J20" s="8">
        <v>92.74</v>
      </c>
      <c r="K20" s="8">
        <v>5.3011439999999999</v>
      </c>
      <c r="L20" s="13">
        <v>8.5199999999999998E-2</v>
      </c>
      <c r="M20" s="8">
        <v>80.489999999999995</v>
      </c>
      <c r="N20" s="8">
        <v>8.8699999999999992</v>
      </c>
      <c r="O20" s="8">
        <v>65.788855999999996</v>
      </c>
      <c r="P20" t="str">
        <f t="shared" si="0"/>
        <v>563150,1</v>
      </c>
      <c r="R20">
        <f t="shared" si="1"/>
        <v>0</v>
      </c>
      <c r="S20" s="12">
        <f t="shared" si="2"/>
        <v>0</v>
      </c>
    </row>
    <row r="21" spans="1:19" x14ac:dyDescent="0.25">
      <c r="A21" s="1">
        <v>7891058004354</v>
      </c>
      <c r="B21" s="1">
        <v>56315</v>
      </c>
      <c r="C21" t="s">
        <v>25</v>
      </c>
      <c r="D21" t="s">
        <v>34</v>
      </c>
      <c r="E21" t="s">
        <v>99</v>
      </c>
      <c r="F21" s="1">
        <v>4</v>
      </c>
      <c r="G21" s="6">
        <v>0.12</v>
      </c>
      <c r="H21" s="8">
        <v>69.13</v>
      </c>
      <c r="I21" s="9">
        <v>0.12</v>
      </c>
      <c r="J21" s="8">
        <v>92.74</v>
      </c>
      <c r="K21" s="8">
        <v>5.1827160000000001</v>
      </c>
      <c r="L21" s="13">
        <v>8.5199999999999998E-2</v>
      </c>
      <c r="M21" s="8">
        <v>80.489999999999995</v>
      </c>
      <c r="N21" s="8">
        <v>9.02</v>
      </c>
      <c r="O21" s="8">
        <v>64.667283999999995</v>
      </c>
      <c r="P21" t="str">
        <f t="shared" si="0"/>
        <v>563150,12</v>
      </c>
      <c r="R21">
        <f t="shared" si="1"/>
        <v>56315</v>
      </c>
      <c r="S21" s="12">
        <f t="shared" si="2"/>
        <v>4</v>
      </c>
    </row>
    <row r="22" spans="1:19" x14ac:dyDescent="0.25">
      <c r="A22" s="1">
        <v>7891058003890</v>
      </c>
      <c r="B22" s="1">
        <v>61328</v>
      </c>
      <c r="C22" t="s">
        <v>35</v>
      </c>
      <c r="D22" t="s">
        <v>36</v>
      </c>
      <c r="E22" t="s">
        <v>27</v>
      </c>
      <c r="F22">
        <v>1</v>
      </c>
      <c r="G22" s="6">
        <v>0.17</v>
      </c>
      <c r="H22" s="8">
        <v>12.92</v>
      </c>
      <c r="I22" s="9">
        <v>0.17</v>
      </c>
      <c r="J22" s="8">
        <v>17.329999999999998</v>
      </c>
      <c r="K22" s="8">
        <v>0.91334400000000004</v>
      </c>
      <c r="L22" s="13">
        <v>8.5199999999999998E-2</v>
      </c>
      <c r="M22" s="8">
        <v>14.34</v>
      </c>
      <c r="N22" s="8">
        <v>1.62</v>
      </c>
      <c r="O22" s="8">
        <v>11.426655999999999</v>
      </c>
      <c r="P22" t="str">
        <f t="shared" si="0"/>
        <v>613280,17</v>
      </c>
      <c r="R22">
        <f t="shared" si="1"/>
        <v>0</v>
      </c>
      <c r="S22" s="12">
        <f t="shared" si="2"/>
        <v>0</v>
      </c>
    </row>
    <row r="23" spans="1:19" x14ac:dyDescent="0.25">
      <c r="A23" s="1">
        <v>7891058003890</v>
      </c>
      <c r="B23" s="1">
        <v>61328</v>
      </c>
      <c r="C23" t="s">
        <v>35</v>
      </c>
      <c r="D23" t="s">
        <v>36</v>
      </c>
      <c r="E23" t="s">
        <v>98</v>
      </c>
      <c r="F23">
        <v>60</v>
      </c>
      <c r="G23" s="6">
        <v>0.35</v>
      </c>
      <c r="H23" s="8">
        <v>12.92</v>
      </c>
      <c r="I23" s="9">
        <v>0.35</v>
      </c>
      <c r="J23" s="8">
        <v>17.329999999999998</v>
      </c>
      <c r="K23" s="8">
        <v>0.71567999999999998</v>
      </c>
      <c r="L23" s="13">
        <v>8.5199999999999998E-2</v>
      </c>
      <c r="M23" s="8">
        <v>14.34</v>
      </c>
      <c r="N23" s="8">
        <v>1.88</v>
      </c>
      <c r="O23" s="8">
        <v>9.5643200000000004</v>
      </c>
      <c r="P23" t="str">
        <f t="shared" si="0"/>
        <v>613280,35</v>
      </c>
      <c r="R23">
        <f t="shared" si="1"/>
        <v>0</v>
      </c>
      <c r="S23" s="12">
        <f t="shared" si="2"/>
        <v>0</v>
      </c>
    </row>
    <row r="24" spans="1:19" x14ac:dyDescent="0.25">
      <c r="A24" s="1">
        <v>7891058003890</v>
      </c>
      <c r="B24" s="1">
        <v>61328</v>
      </c>
      <c r="C24" t="s">
        <v>35</v>
      </c>
      <c r="D24" t="s">
        <v>36</v>
      </c>
      <c r="E24" t="s">
        <v>99</v>
      </c>
      <c r="F24">
        <v>120</v>
      </c>
      <c r="G24" s="6">
        <v>0.45</v>
      </c>
      <c r="H24" s="8">
        <v>12.92</v>
      </c>
      <c r="I24" s="9">
        <v>0.45</v>
      </c>
      <c r="J24" s="8">
        <v>17.329999999999998</v>
      </c>
      <c r="K24" s="8">
        <v>0.60577199999999998</v>
      </c>
      <c r="L24" s="13">
        <v>8.5199999999999998E-2</v>
      </c>
      <c r="M24" s="8">
        <v>14.34</v>
      </c>
      <c r="N24" s="8">
        <v>2.02</v>
      </c>
      <c r="O24" s="8">
        <v>8.5242280000000008</v>
      </c>
      <c r="P24" t="str">
        <f t="shared" si="0"/>
        <v>613280,45</v>
      </c>
      <c r="R24">
        <f t="shared" si="1"/>
        <v>61328</v>
      </c>
      <c r="S24" s="12">
        <f t="shared" si="2"/>
        <v>120</v>
      </c>
    </row>
    <row r="25" spans="1:19" x14ac:dyDescent="0.25">
      <c r="A25" s="1">
        <v>7891058021597</v>
      </c>
      <c r="B25" s="1">
        <v>21487</v>
      </c>
      <c r="C25" t="s">
        <v>35</v>
      </c>
      <c r="D25" t="s">
        <v>37</v>
      </c>
      <c r="E25" t="s">
        <v>27</v>
      </c>
      <c r="F25">
        <v>1</v>
      </c>
      <c r="G25" s="6">
        <v>0.12</v>
      </c>
      <c r="H25" s="8">
        <v>22.77</v>
      </c>
      <c r="I25" s="9">
        <v>0.12</v>
      </c>
      <c r="J25" s="8">
        <v>30.55</v>
      </c>
      <c r="K25" s="8">
        <v>1.707408</v>
      </c>
      <c r="L25" s="13">
        <v>8.5199999999999998E-2</v>
      </c>
      <c r="M25" s="8">
        <v>26.23</v>
      </c>
      <c r="N25" s="8">
        <v>2.91</v>
      </c>
      <c r="O25" s="8">
        <v>21.242591999999998</v>
      </c>
      <c r="P25" t="str">
        <f t="shared" si="0"/>
        <v>214870,12</v>
      </c>
      <c r="R25">
        <f t="shared" si="1"/>
        <v>0</v>
      </c>
      <c r="S25" s="12">
        <f t="shared" si="2"/>
        <v>0</v>
      </c>
    </row>
    <row r="26" spans="1:19" x14ac:dyDescent="0.25">
      <c r="A26" s="1">
        <v>7891058021597</v>
      </c>
      <c r="B26" s="1">
        <v>21487</v>
      </c>
      <c r="C26" t="s">
        <v>35</v>
      </c>
      <c r="D26" t="s">
        <v>37</v>
      </c>
      <c r="E26" t="s">
        <v>98</v>
      </c>
      <c r="F26">
        <v>60</v>
      </c>
      <c r="G26" s="6">
        <v>0.35</v>
      </c>
      <c r="H26" s="8">
        <v>22.77</v>
      </c>
      <c r="I26" s="9">
        <v>0.35</v>
      </c>
      <c r="J26" s="8">
        <v>30.55</v>
      </c>
      <c r="K26" s="8">
        <v>1.2609600000000001</v>
      </c>
      <c r="L26" s="13">
        <v>8.5199999999999998E-2</v>
      </c>
      <c r="M26" s="8">
        <v>26.23</v>
      </c>
      <c r="N26" s="8">
        <v>3.49</v>
      </c>
      <c r="O26" s="8">
        <v>17.029039999999998</v>
      </c>
      <c r="P26" t="str">
        <f t="shared" si="0"/>
        <v>214870,35</v>
      </c>
      <c r="R26">
        <f t="shared" si="1"/>
        <v>0</v>
      </c>
      <c r="S26" s="12">
        <f t="shared" si="2"/>
        <v>0</v>
      </c>
    </row>
    <row r="27" spans="1:19" x14ac:dyDescent="0.25">
      <c r="A27" s="1">
        <v>7891058021597</v>
      </c>
      <c r="B27" s="1">
        <v>21487</v>
      </c>
      <c r="C27" t="s">
        <v>35</v>
      </c>
      <c r="D27" t="s">
        <v>37</v>
      </c>
      <c r="E27" t="s">
        <v>99</v>
      </c>
      <c r="F27">
        <v>120</v>
      </c>
      <c r="G27" s="6">
        <v>0.45</v>
      </c>
      <c r="H27" s="8">
        <v>22.77</v>
      </c>
      <c r="I27" s="9">
        <v>0.45</v>
      </c>
      <c r="J27" s="8">
        <v>30.55</v>
      </c>
      <c r="K27" s="8">
        <v>1.0667040000000001</v>
      </c>
      <c r="L27" s="13">
        <v>8.5199999999999998E-2</v>
      </c>
      <c r="M27" s="8">
        <v>26.23</v>
      </c>
      <c r="N27" s="8">
        <v>3.74</v>
      </c>
      <c r="O27" s="8">
        <v>15.193296</v>
      </c>
      <c r="P27" t="str">
        <f t="shared" si="0"/>
        <v>214870,45</v>
      </c>
      <c r="R27">
        <f t="shared" si="1"/>
        <v>21487</v>
      </c>
      <c r="S27" s="12">
        <f t="shared" si="2"/>
        <v>120</v>
      </c>
    </row>
    <row r="28" spans="1:19" x14ac:dyDescent="0.25">
      <c r="A28" s="1">
        <v>7891058021665</v>
      </c>
      <c r="B28" s="1">
        <v>0</v>
      </c>
      <c r="C28" t="s">
        <v>35</v>
      </c>
      <c r="D28" t="s">
        <v>82</v>
      </c>
      <c r="E28" t="s">
        <v>27</v>
      </c>
      <c r="F28">
        <v>1</v>
      </c>
      <c r="G28" s="6">
        <v>0.21</v>
      </c>
      <c r="H28" s="8">
        <v>264.82</v>
      </c>
      <c r="I28" s="9">
        <v>0.21</v>
      </c>
      <c r="J28" s="8">
        <v>355.25</v>
      </c>
      <c r="K28" s="8">
        <v>17.824691999999999</v>
      </c>
      <c r="L28" s="13">
        <v>8.5199999999999998E-2</v>
      </c>
      <c r="M28" s="8">
        <v>325.8</v>
      </c>
      <c r="N28" s="8">
        <v>40.56</v>
      </c>
      <c r="O28" s="8">
        <v>231.94530800000001</v>
      </c>
      <c r="P28" t="str">
        <f t="shared" si="0"/>
        <v>00,21</v>
      </c>
      <c r="R28">
        <f t="shared" si="1"/>
        <v>0</v>
      </c>
      <c r="S28" s="12">
        <f t="shared" si="2"/>
        <v>0</v>
      </c>
    </row>
    <row r="29" spans="1:19" x14ac:dyDescent="0.25">
      <c r="A29" s="1">
        <v>7891058021603</v>
      </c>
      <c r="B29" s="1">
        <v>0</v>
      </c>
      <c r="C29" t="s">
        <v>35</v>
      </c>
      <c r="D29" t="s">
        <v>38</v>
      </c>
      <c r="E29" t="s">
        <v>27</v>
      </c>
      <c r="F29">
        <v>1</v>
      </c>
      <c r="G29" s="6">
        <v>7.0000000000000007E-2</v>
      </c>
      <c r="H29" s="8">
        <v>22.07</v>
      </c>
      <c r="I29" s="9">
        <v>7.0000000000000007E-2</v>
      </c>
      <c r="J29" s="8">
        <v>0</v>
      </c>
      <c r="K29" s="8">
        <v>0</v>
      </c>
      <c r="L29" s="13">
        <v>0</v>
      </c>
      <c r="M29" s="8">
        <v>23.69</v>
      </c>
      <c r="N29" s="8">
        <v>2.16</v>
      </c>
      <c r="O29" s="8">
        <v>22.69</v>
      </c>
      <c r="P29" t="str">
        <f t="shared" si="0"/>
        <v>00,07</v>
      </c>
      <c r="R29">
        <f t="shared" si="1"/>
        <v>0</v>
      </c>
      <c r="S29" s="12">
        <f t="shared" si="2"/>
        <v>0</v>
      </c>
    </row>
    <row r="30" spans="1:19" x14ac:dyDescent="0.25">
      <c r="A30" s="1">
        <v>7891058021580</v>
      </c>
      <c r="B30" s="1">
        <v>5796</v>
      </c>
      <c r="C30" t="s">
        <v>35</v>
      </c>
      <c r="D30" t="s">
        <v>39</v>
      </c>
      <c r="E30" t="s">
        <v>27</v>
      </c>
      <c r="F30">
        <v>1</v>
      </c>
      <c r="G30" s="6">
        <v>0.12</v>
      </c>
      <c r="H30" s="8">
        <v>14.82</v>
      </c>
      <c r="I30" s="9">
        <v>7.0000000000000007E-2</v>
      </c>
      <c r="J30" s="8">
        <v>19.88</v>
      </c>
      <c r="K30" s="8">
        <v>1.174056</v>
      </c>
      <c r="L30" s="13">
        <v>8.5199999999999998E-2</v>
      </c>
      <c r="M30" s="8">
        <v>17.86</v>
      </c>
      <c r="N30" s="8">
        <v>1.97</v>
      </c>
      <c r="O30" s="8">
        <v>14.575944</v>
      </c>
      <c r="P30" t="str">
        <f t="shared" si="0"/>
        <v>57960,12</v>
      </c>
      <c r="R30">
        <f t="shared" si="1"/>
        <v>0</v>
      </c>
      <c r="S30" s="12">
        <f t="shared" si="2"/>
        <v>0</v>
      </c>
    </row>
    <row r="31" spans="1:19" x14ac:dyDescent="0.25">
      <c r="A31" s="1">
        <v>7891058001810</v>
      </c>
      <c r="B31" s="1">
        <v>0</v>
      </c>
      <c r="C31" t="s">
        <v>40</v>
      </c>
      <c r="D31" t="s">
        <v>41</v>
      </c>
      <c r="E31" t="s">
        <v>27</v>
      </c>
      <c r="F31">
        <v>1</v>
      </c>
      <c r="G31" s="6">
        <v>0.18</v>
      </c>
      <c r="H31" s="8">
        <v>18.940000000000001</v>
      </c>
      <c r="I31" s="9">
        <v>0.08</v>
      </c>
      <c r="J31" s="8">
        <v>25.41</v>
      </c>
      <c r="K31" s="8">
        <v>1.4841839999999999</v>
      </c>
      <c r="L31" s="13">
        <v>8.5199999999999998E-2</v>
      </c>
      <c r="M31" s="8">
        <v>20.350000000000001</v>
      </c>
      <c r="N31" s="8">
        <v>2.06</v>
      </c>
      <c r="O31" s="8">
        <v>17.995816000000001</v>
      </c>
      <c r="P31" t="str">
        <f t="shared" si="0"/>
        <v>00,18</v>
      </c>
      <c r="R31">
        <f t="shared" si="1"/>
        <v>0</v>
      </c>
      <c r="S31" s="12">
        <f t="shared" si="2"/>
        <v>0</v>
      </c>
    </row>
    <row r="32" spans="1:19" x14ac:dyDescent="0.25">
      <c r="A32" s="1">
        <v>7891058021627</v>
      </c>
      <c r="B32" s="1">
        <v>6842</v>
      </c>
      <c r="C32" t="s">
        <v>40</v>
      </c>
      <c r="D32" t="s">
        <v>42</v>
      </c>
      <c r="E32" t="s">
        <v>27</v>
      </c>
      <c r="F32">
        <v>1</v>
      </c>
      <c r="G32" s="6">
        <v>0.15</v>
      </c>
      <c r="H32" s="8">
        <v>13.23</v>
      </c>
      <c r="I32" s="9">
        <v>0.12</v>
      </c>
      <c r="J32" s="8">
        <v>17.75</v>
      </c>
      <c r="K32" s="8">
        <v>0.99172800000000005</v>
      </c>
      <c r="L32" s="13">
        <v>8.5199999999999998E-2</v>
      </c>
      <c r="M32" s="8">
        <v>12.46</v>
      </c>
      <c r="N32" s="8">
        <v>1.1499999999999999</v>
      </c>
      <c r="O32" s="8">
        <v>11.798272000000001</v>
      </c>
      <c r="P32" t="str">
        <f t="shared" si="0"/>
        <v>68420,15</v>
      </c>
      <c r="R32">
        <f t="shared" si="1"/>
        <v>0</v>
      </c>
      <c r="S32" s="12">
        <f t="shared" si="2"/>
        <v>0</v>
      </c>
    </row>
    <row r="33" spans="1:19" x14ac:dyDescent="0.25">
      <c r="A33" s="1">
        <v>7891058021610</v>
      </c>
      <c r="B33" s="1">
        <v>6843</v>
      </c>
      <c r="C33" t="s">
        <v>40</v>
      </c>
      <c r="D33" t="s">
        <v>43</v>
      </c>
      <c r="E33" t="s">
        <v>27</v>
      </c>
      <c r="F33">
        <v>1</v>
      </c>
      <c r="G33" s="6">
        <v>0.15</v>
      </c>
      <c r="H33" s="8">
        <v>24.21</v>
      </c>
      <c r="I33" s="9">
        <v>0.08</v>
      </c>
      <c r="J33" s="8">
        <v>32.479999999999997</v>
      </c>
      <c r="K33" s="8">
        <v>1.8974040000000001</v>
      </c>
      <c r="L33" s="13">
        <v>8.5199999999999998E-2</v>
      </c>
      <c r="M33" s="8">
        <v>27.79</v>
      </c>
      <c r="N33" s="8">
        <v>2.98</v>
      </c>
      <c r="O33" s="8">
        <v>23.352595999999998</v>
      </c>
      <c r="P33" t="str">
        <f t="shared" si="0"/>
        <v>68430,15</v>
      </c>
      <c r="R33">
        <f t="shared" si="1"/>
        <v>0</v>
      </c>
      <c r="S33" s="12">
        <f t="shared" si="2"/>
        <v>0</v>
      </c>
    </row>
    <row r="34" spans="1:19" x14ac:dyDescent="0.25">
      <c r="A34" s="1">
        <v>7891058000295</v>
      </c>
      <c r="B34" s="1">
        <v>1362</v>
      </c>
      <c r="C34" t="s">
        <v>44</v>
      </c>
      <c r="D34" t="s">
        <v>45</v>
      </c>
      <c r="E34" t="s">
        <v>27</v>
      </c>
      <c r="F34">
        <v>1</v>
      </c>
      <c r="G34" s="6">
        <v>7.0000000000000007E-2</v>
      </c>
      <c r="H34" s="8">
        <v>13.42</v>
      </c>
      <c r="I34" s="9">
        <v>0.08</v>
      </c>
      <c r="J34" s="8">
        <v>18</v>
      </c>
      <c r="K34" s="8">
        <v>1.0522199999999999</v>
      </c>
      <c r="L34" s="13">
        <v>8.5199999999999998E-2</v>
      </c>
      <c r="M34" s="8">
        <v>16.02</v>
      </c>
      <c r="N34" s="8">
        <v>1.76</v>
      </c>
      <c r="O34" s="8">
        <v>13.057779999999999</v>
      </c>
      <c r="P34" t="str">
        <f t="shared" si="0"/>
        <v>13620,07</v>
      </c>
      <c r="R34">
        <f t="shared" si="1"/>
        <v>0</v>
      </c>
      <c r="S34" s="12">
        <f t="shared" si="2"/>
        <v>0</v>
      </c>
    </row>
    <row r="35" spans="1:19" x14ac:dyDescent="0.25">
      <c r="A35" s="1">
        <v>7891058000295</v>
      </c>
      <c r="B35" s="1">
        <v>1362</v>
      </c>
      <c r="C35" t="s">
        <v>44</v>
      </c>
      <c r="D35" t="s">
        <v>45</v>
      </c>
      <c r="E35" t="s">
        <v>98</v>
      </c>
      <c r="F35">
        <v>3</v>
      </c>
      <c r="G35" s="6">
        <v>0.09</v>
      </c>
      <c r="H35" s="8">
        <v>30.21</v>
      </c>
      <c r="I35" s="9">
        <v>0.09</v>
      </c>
      <c r="J35" s="8">
        <v>0</v>
      </c>
      <c r="K35" s="8">
        <v>0</v>
      </c>
      <c r="L35" s="13">
        <v>0</v>
      </c>
      <c r="M35" s="8">
        <v>0</v>
      </c>
      <c r="N35" s="8">
        <v>0</v>
      </c>
      <c r="O35" s="8">
        <v>27.49</v>
      </c>
      <c r="P35" t="str">
        <f t="shared" si="0"/>
        <v>13620,09</v>
      </c>
      <c r="R35">
        <f t="shared" si="1"/>
        <v>0</v>
      </c>
      <c r="S35" s="12">
        <f t="shared" si="2"/>
        <v>0</v>
      </c>
    </row>
    <row r="36" spans="1:19" x14ac:dyDescent="0.25">
      <c r="A36" s="1">
        <v>7891058000295</v>
      </c>
      <c r="B36" s="1">
        <v>1362</v>
      </c>
      <c r="C36" t="s">
        <v>44</v>
      </c>
      <c r="D36" t="s">
        <v>45</v>
      </c>
      <c r="E36" t="s">
        <v>99</v>
      </c>
      <c r="F36">
        <v>4</v>
      </c>
      <c r="G36" s="6">
        <v>0.11</v>
      </c>
      <c r="H36" s="8">
        <v>30.21</v>
      </c>
      <c r="I36" s="9">
        <v>0.11</v>
      </c>
      <c r="J36" s="8">
        <v>0</v>
      </c>
      <c r="K36" s="8">
        <v>0</v>
      </c>
      <c r="L36" s="13">
        <v>0</v>
      </c>
      <c r="M36" s="8">
        <v>0</v>
      </c>
      <c r="N36" s="8">
        <v>0</v>
      </c>
      <c r="O36" s="8">
        <v>26.89</v>
      </c>
      <c r="P36" t="str">
        <f t="shared" si="0"/>
        <v>13620,11</v>
      </c>
      <c r="R36">
        <f t="shared" si="1"/>
        <v>1362</v>
      </c>
      <c r="S36" s="12">
        <f t="shared" si="2"/>
        <v>4</v>
      </c>
    </row>
    <row r="37" spans="1:19" x14ac:dyDescent="0.25">
      <c r="A37" s="1">
        <v>7891058001643</v>
      </c>
      <c r="B37" s="1">
        <v>1349</v>
      </c>
      <c r="C37" t="s">
        <v>44</v>
      </c>
      <c r="D37" t="s">
        <v>46</v>
      </c>
      <c r="E37" t="s">
        <v>27</v>
      </c>
      <c r="F37">
        <v>1</v>
      </c>
      <c r="G37" s="6">
        <v>7.0000000000000007E-2</v>
      </c>
      <c r="H37" s="8">
        <v>14.73</v>
      </c>
      <c r="I37" s="9">
        <v>7.0000000000000007E-2</v>
      </c>
      <c r="J37" s="8">
        <v>19.760000000000002</v>
      </c>
      <c r="K37" s="8">
        <v>1.1672400000000001</v>
      </c>
      <c r="L37" s="13">
        <v>8.5199999999999998E-2</v>
      </c>
      <c r="M37" s="8">
        <v>17.23</v>
      </c>
      <c r="N37" s="8">
        <v>1.86</v>
      </c>
      <c r="O37" s="8">
        <v>14.392760000000001</v>
      </c>
      <c r="P37" t="str">
        <f t="shared" si="0"/>
        <v>13490,07</v>
      </c>
      <c r="R37">
        <f t="shared" si="1"/>
        <v>0</v>
      </c>
      <c r="S37" s="12">
        <f t="shared" si="2"/>
        <v>0</v>
      </c>
    </row>
    <row r="38" spans="1:19" x14ac:dyDescent="0.25">
      <c r="A38" s="1">
        <v>7891058001643</v>
      </c>
      <c r="B38" s="1">
        <v>1349</v>
      </c>
      <c r="C38" t="s">
        <v>44</v>
      </c>
      <c r="D38" t="s">
        <v>46</v>
      </c>
      <c r="E38" t="s">
        <v>98</v>
      </c>
      <c r="F38">
        <v>3</v>
      </c>
      <c r="G38" s="6">
        <v>0.09</v>
      </c>
      <c r="H38" s="8">
        <v>16.97</v>
      </c>
      <c r="I38" s="9">
        <v>0.09</v>
      </c>
      <c r="J38" s="8">
        <v>0</v>
      </c>
      <c r="K38" s="8">
        <v>0</v>
      </c>
      <c r="L38" s="13">
        <v>0</v>
      </c>
      <c r="M38" s="8">
        <v>0</v>
      </c>
      <c r="N38" s="8">
        <v>0</v>
      </c>
      <c r="O38" s="8">
        <v>15.44</v>
      </c>
      <c r="P38" t="str">
        <f t="shared" si="0"/>
        <v>13490,09</v>
      </c>
      <c r="R38">
        <f t="shared" si="1"/>
        <v>0</v>
      </c>
      <c r="S38" s="12">
        <f t="shared" si="2"/>
        <v>0</v>
      </c>
    </row>
    <row r="39" spans="1:19" x14ac:dyDescent="0.25">
      <c r="A39" s="1">
        <v>7891058001643</v>
      </c>
      <c r="B39" s="1">
        <v>1349</v>
      </c>
      <c r="C39" t="s">
        <v>44</v>
      </c>
      <c r="D39" t="s">
        <v>46</v>
      </c>
      <c r="E39" t="s">
        <v>99</v>
      </c>
      <c r="F39">
        <v>4</v>
      </c>
      <c r="G39" s="6">
        <v>0.11</v>
      </c>
      <c r="H39" s="8">
        <v>16.97</v>
      </c>
      <c r="I39" s="9">
        <v>0.11</v>
      </c>
      <c r="J39" s="8">
        <v>0</v>
      </c>
      <c r="K39" s="8">
        <v>0</v>
      </c>
      <c r="L39" s="13">
        <v>0</v>
      </c>
      <c r="M39" s="8">
        <v>0</v>
      </c>
      <c r="N39" s="8">
        <v>0</v>
      </c>
      <c r="O39" s="8">
        <v>15.1</v>
      </c>
      <c r="P39" t="str">
        <f t="shared" si="0"/>
        <v>13490,11</v>
      </c>
      <c r="R39">
        <f t="shared" si="1"/>
        <v>1349</v>
      </c>
      <c r="S39" s="12">
        <f t="shared" si="2"/>
        <v>4</v>
      </c>
    </row>
    <row r="40" spans="1:19" x14ac:dyDescent="0.25">
      <c r="A40" s="1">
        <v>7891058001520</v>
      </c>
      <c r="B40" s="1">
        <v>0</v>
      </c>
      <c r="C40" t="s">
        <v>44</v>
      </c>
      <c r="D40" t="s">
        <v>47</v>
      </c>
      <c r="E40" t="s">
        <v>27</v>
      </c>
      <c r="F40">
        <v>1</v>
      </c>
      <c r="G40" s="6">
        <v>7.0000000000000007E-2</v>
      </c>
      <c r="H40" s="8">
        <v>39.31</v>
      </c>
      <c r="I40" s="9">
        <v>0.11</v>
      </c>
      <c r="J40" s="8">
        <v>0</v>
      </c>
      <c r="K40" s="8">
        <v>0</v>
      </c>
      <c r="L40" s="13">
        <v>0</v>
      </c>
      <c r="M40" s="8">
        <v>0</v>
      </c>
      <c r="N40" s="8">
        <v>0</v>
      </c>
      <c r="O40" s="8">
        <v>34.99</v>
      </c>
      <c r="P40" t="str">
        <f t="shared" si="0"/>
        <v>00,07</v>
      </c>
      <c r="R40">
        <f t="shared" si="1"/>
        <v>0</v>
      </c>
      <c r="S40" s="12">
        <f t="shared" si="2"/>
        <v>0</v>
      </c>
    </row>
    <row r="41" spans="1:19" x14ac:dyDescent="0.25">
      <c r="A41" s="1">
        <v>7891058001520</v>
      </c>
      <c r="B41" s="1">
        <v>0</v>
      </c>
      <c r="C41" t="s">
        <v>44</v>
      </c>
      <c r="D41" t="s">
        <v>47</v>
      </c>
      <c r="E41" t="s">
        <v>98</v>
      </c>
      <c r="F41">
        <v>3</v>
      </c>
      <c r="G41" s="6">
        <v>0.09</v>
      </c>
      <c r="H41" s="8">
        <v>15.1</v>
      </c>
      <c r="I41" s="9">
        <v>0.09</v>
      </c>
      <c r="J41" s="8">
        <v>0</v>
      </c>
      <c r="K41" s="8">
        <v>0</v>
      </c>
      <c r="L41" s="13">
        <v>0</v>
      </c>
      <c r="M41" s="8">
        <v>0</v>
      </c>
      <c r="N41" s="8">
        <v>0</v>
      </c>
      <c r="O41" s="8">
        <v>13.74</v>
      </c>
      <c r="P41" t="str">
        <f t="shared" si="0"/>
        <v>00,09</v>
      </c>
      <c r="R41">
        <f t="shared" si="1"/>
        <v>0</v>
      </c>
      <c r="S41" s="12">
        <f t="shared" si="2"/>
        <v>0</v>
      </c>
    </row>
    <row r="42" spans="1:19" x14ac:dyDescent="0.25">
      <c r="A42" s="1">
        <v>7891058001520</v>
      </c>
      <c r="B42" s="1">
        <v>0</v>
      </c>
      <c r="C42" t="s">
        <v>44</v>
      </c>
      <c r="D42" t="s">
        <v>47</v>
      </c>
      <c r="E42" t="s">
        <v>99</v>
      </c>
      <c r="F42">
        <v>4</v>
      </c>
      <c r="G42" s="6">
        <v>0.11</v>
      </c>
      <c r="H42" s="8">
        <v>15.1</v>
      </c>
      <c r="I42" s="9">
        <v>0.11</v>
      </c>
      <c r="J42" s="8">
        <v>0</v>
      </c>
      <c r="K42" s="8">
        <v>0</v>
      </c>
      <c r="L42" s="13">
        <v>0</v>
      </c>
      <c r="M42" s="8">
        <v>0</v>
      </c>
      <c r="N42" s="8">
        <v>0</v>
      </c>
      <c r="O42" s="8">
        <v>13.44</v>
      </c>
      <c r="P42" t="str">
        <f t="shared" si="0"/>
        <v>00,11</v>
      </c>
      <c r="R42">
        <f t="shared" si="1"/>
        <v>0</v>
      </c>
      <c r="S42" s="12">
        <f t="shared" si="2"/>
        <v>4</v>
      </c>
    </row>
    <row r="43" spans="1:19" x14ac:dyDescent="0.25">
      <c r="A43" s="4">
        <v>7891058020316</v>
      </c>
      <c r="B43" s="1">
        <v>3045</v>
      </c>
      <c r="C43" t="s">
        <v>83</v>
      </c>
      <c r="D43" t="s">
        <v>84</v>
      </c>
      <c r="E43" s="5" t="s">
        <v>14</v>
      </c>
      <c r="F43">
        <v>12</v>
      </c>
      <c r="G43" s="6">
        <v>0.21</v>
      </c>
      <c r="H43" s="8">
        <v>22.07</v>
      </c>
      <c r="I43" s="9">
        <v>0.21</v>
      </c>
      <c r="J43" s="8">
        <v>0</v>
      </c>
      <c r="K43" s="8">
        <v>0</v>
      </c>
      <c r="L43" s="13">
        <v>0</v>
      </c>
      <c r="M43" s="8">
        <v>23.69</v>
      </c>
      <c r="N43" s="8">
        <v>2.5299999999999998</v>
      </c>
      <c r="O43" s="8">
        <v>19.97</v>
      </c>
      <c r="P43" t="str">
        <f t="shared" si="0"/>
        <v>30450,21</v>
      </c>
      <c r="R43">
        <f t="shared" si="1"/>
        <v>0</v>
      </c>
      <c r="S43" s="12">
        <f t="shared" si="2"/>
        <v>0</v>
      </c>
    </row>
    <row r="44" spans="1:19" x14ac:dyDescent="0.25">
      <c r="A44" s="1">
        <v>7891058020316</v>
      </c>
      <c r="B44" s="1">
        <v>3045</v>
      </c>
      <c r="C44" t="s">
        <v>83</v>
      </c>
      <c r="D44" t="s">
        <v>84</v>
      </c>
      <c r="E44" t="s">
        <v>27</v>
      </c>
      <c r="F44">
        <v>1</v>
      </c>
      <c r="G44" s="6">
        <v>7.0000000000000007E-2</v>
      </c>
      <c r="H44" s="8">
        <v>22.07</v>
      </c>
      <c r="I44" s="9">
        <v>7.0000000000000007E-2</v>
      </c>
      <c r="J44" s="8">
        <v>0</v>
      </c>
      <c r="K44" s="8">
        <v>0</v>
      </c>
      <c r="L44" s="13">
        <v>0</v>
      </c>
      <c r="M44" s="8">
        <v>23.69</v>
      </c>
      <c r="N44" s="8">
        <v>2.16</v>
      </c>
      <c r="O44" s="8">
        <v>22.69</v>
      </c>
      <c r="P44" t="str">
        <f t="shared" si="0"/>
        <v>30450,07</v>
      </c>
      <c r="R44">
        <f t="shared" si="1"/>
        <v>0</v>
      </c>
      <c r="S44" s="12">
        <f t="shared" si="2"/>
        <v>0</v>
      </c>
    </row>
    <row r="45" spans="1:19" x14ac:dyDescent="0.25">
      <c r="A45" s="1">
        <v>7891058020316</v>
      </c>
      <c r="B45" s="1">
        <v>3045</v>
      </c>
      <c r="C45" t="s">
        <v>83</v>
      </c>
      <c r="D45" t="s">
        <v>84</v>
      </c>
      <c r="E45" t="s">
        <v>98</v>
      </c>
      <c r="F45">
        <v>5</v>
      </c>
      <c r="G45" s="6">
        <v>0.09</v>
      </c>
      <c r="H45" s="8">
        <v>22.07</v>
      </c>
      <c r="I45" s="9">
        <v>0.09</v>
      </c>
      <c r="J45" s="8">
        <v>0</v>
      </c>
      <c r="K45" s="8">
        <v>0</v>
      </c>
      <c r="L45" s="13">
        <v>0</v>
      </c>
      <c r="M45" s="8">
        <v>23.69</v>
      </c>
      <c r="N45" s="8">
        <v>2.21</v>
      </c>
      <c r="O45" s="8">
        <v>22.29</v>
      </c>
      <c r="P45" t="str">
        <f t="shared" si="0"/>
        <v>30450,09</v>
      </c>
      <c r="R45">
        <f t="shared" si="1"/>
        <v>0</v>
      </c>
      <c r="S45" s="12">
        <f t="shared" si="2"/>
        <v>0</v>
      </c>
    </row>
    <row r="46" spans="1:19" x14ac:dyDescent="0.25">
      <c r="A46" s="1">
        <v>7891058020316</v>
      </c>
      <c r="B46" s="1">
        <v>3045</v>
      </c>
      <c r="C46" t="s">
        <v>83</v>
      </c>
      <c r="D46" t="s">
        <v>84</v>
      </c>
      <c r="E46" t="s">
        <v>99</v>
      </c>
      <c r="F46">
        <v>10</v>
      </c>
      <c r="G46" s="6">
        <v>0.11</v>
      </c>
      <c r="H46" s="8">
        <v>22.07</v>
      </c>
      <c r="I46" s="9">
        <v>0.11</v>
      </c>
      <c r="J46" s="8">
        <v>0</v>
      </c>
      <c r="K46" s="8">
        <v>0</v>
      </c>
      <c r="L46" s="13">
        <v>0</v>
      </c>
      <c r="M46" s="8">
        <v>23.69</v>
      </c>
      <c r="N46" s="8">
        <v>2.2599999999999998</v>
      </c>
      <c r="O46" s="8">
        <v>21.9</v>
      </c>
      <c r="P46" t="str">
        <f t="shared" si="0"/>
        <v>30450,11</v>
      </c>
      <c r="R46">
        <f t="shared" si="1"/>
        <v>3045</v>
      </c>
      <c r="S46" s="12">
        <f t="shared" si="2"/>
        <v>10</v>
      </c>
    </row>
    <row r="47" spans="1:19" x14ac:dyDescent="0.25">
      <c r="A47" s="1">
        <v>7896070600249</v>
      </c>
      <c r="B47" s="1">
        <v>0</v>
      </c>
      <c r="C47" t="s">
        <v>48</v>
      </c>
      <c r="D47" t="s">
        <v>49</v>
      </c>
      <c r="E47" t="s">
        <v>27</v>
      </c>
      <c r="F47">
        <v>1</v>
      </c>
      <c r="G47" s="6">
        <v>7.0000000000000007E-2</v>
      </c>
      <c r="H47" s="8">
        <v>39.729999999999997</v>
      </c>
      <c r="I47" s="9">
        <v>0.11</v>
      </c>
      <c r="J47" s="8">
        <v>0</v>
      </c>
      <c r="K47" s="8">
        <v>0</v>
      </c>
      <c r="L47" s="13">
        <v>0</v>
      </c>
      <c r="M47" s="8">
        <v>0</v>
      </c>
      <c r="N47" s="8">
        <v>0</v>
      </c>
      <c r="O47" s="8">
        <v>35.36</v>
      </c>
      <c r="P47" t="str">
        <f t="shared" si="0"/>
        <v>00,07</v>
      </c>
      <c r="R47">
        <f t="shared" si="1"/>
        <v>0</v>
      </c>
      <c r="S47" s="12">
        <f t="shared" si="2"/>
        <v>0</v>
      </c>
    </row>
    <row r="48" spans="1:19" x14ac:dyDescent="0.25">
      <c r="A48" s="1">
        <v>7896070600249</v>
      </c>
      <c r="B48" s="1">
        <v>0</v>
      </c>
      <c r="C48" t="s">
        <v>48</v>
      </c>
      <c r="D48" t="s">
        <v>49</v>
      </c>
      <c r="E48" t="s">
        <v>98</v>
      </c>
      <c r="F48">
        <v>3</v>
      </c>
      <c r="G48" s="6">
        <v>0.09</v>
      </c>
      <c r="H48" s="8">
        <v>22.17</v>
      </c>
      <c r="I48" s="9">
        <v>0.09</v>
      </c>
      <c r="J48" s="8">
        <v>29.74</v>
      </c>
      <c r="K48" s="8">
        <v>1.7184839999999999</v>
      </c>
      <c r="L48" s="13">
        <v>8.5199999999999998E-2</v>
      </c>
      <c r="M48" s="8">
        <v>25.71</v>
      </c>
      <c r="N48" s="8">
        <v>2.8</v>
      </c>
      <c r="O48" s="8">
        <v>21.251515999999999</v>
      </c>
      <c r="P48" t="str">
        <f t="shared" si="0"/>
        <v>00,09</v>
      </c>
      <c r="R48">
        <f t="shared" si="1"/>
        <v>0</v>
      </c>
      <c r="S48" s="12">
        <f t="shared" si="2"/>
        <v>0</v>
      </c>
    </row>
    <row r="49" spans="1:19" x14ac:dyDescent="0.25">
      <c r="A49" s="1">
        <v>7896070600249</v>
      </c>
      <c r="B49" s="1">
        <v>0</v>
      </c>
      <c r="C49" t="s">
        <v>48</v>
      </c>
      <c r="D49" t="s">
        <v>49</v>
      </c>
      <c r="E49" t="s">
        <v>99</v>
      </c>
      <c r="F49">
        <v>4</v>
      </c>
      <c r="G49" s="6">
        <v>0.11</v>
      </c>
      <c r="H49" s="8">
        <v>22.17</v>
      </c>
      <c r="I49" s="9">
        <v>0.11</v>
      </c>
      <c r="J49" s="8">
        <v>29.74</v>
      </c>
      <c r="K49" s="8">
        <v>1.6809959999999999</v>
      </c>
      <c r="L49" s="13">
        <v>8.5199999999999998E-2</v>
      </c>
      <c r="M49" s="8">
        <v>25.71</v>
      </c>
      <c r="N49" s="8">
        <v>2.84</v>
      </c>
      <c r="O49" s="8">
        <v>20.889004</v>
      </c>
      <c r="P49" t="str">
        <f t="shared" si="0"/>
        <v>00,11</v>
      </c>
      <c r="R49">
        <f t="shared" si="1"/>
        <v>0</v>
      </c>
      <c r="S49" s="12">
        <f t="shared" si="2"/>
        <v>4</v>
      </c>
    </row>
    <row r="50" spans="1:19" x14ac:dyDescent="0.25">
      <c r="A50" s="1">
        <v>7891058018627</v>
      </c>
      <c r="B50" s="1">
        <v>40550</v>
      </c>
      <c r="C50" t="s">
        <v>50</v>
      </c>
      <c r="D50" t="s">
        <v>51</v>
      </c>
      <c r="E50" t="s">
        <v>27</v>
      </c>
      <c r="F50">
        <v>1</v>
      </c>
      <c r="G50" s="6">
        <v>7.0000000000000007E-2</v>
      </c>
      <c r="H50" s="8">
        <v>15.17</v>
      </c>
      <c r="I50" s="9">
        <v>7.0000000000000007E-2</v>
      </c>
      <c r="J50" s="8">
        <v>20.350000000000001</v>
      </c>
      <c r="K50" s="8">
        <v>1.202172</v>
      </c>
      <c r="L50" s="13">
        <v>8.5199999999999998E-2</v>
      </c>
      <c r="M50" s="8">
        <v>18.09</v>
      </c>
      <c r="N50" s="8">
        <v>1.98</v>
      </c>
      <c r="O50" s="8">
        <v>14.887828000000001</v>
      </c>
      <c r="P50" t="str">
        <f t="shared" si="0"/>
        <v>405500,07</v>
      </c>
      <c r="R50">
        <f t="shared" si="1"/>
        <v>0</v>
      </c>
      <c r="S50" s="12">
        <f t="shared" si="2"/>
        <v>0</v>
      </c>
    </row>
    <row r="51" spans="1:19" x14ac:dyDescent="0.25">
      <c r="A51" s="1">
        <v>7891058022136</v>
      </c>
      <c r="B51" s="1">
        <v>47086</v>
      </c>
      <c r="C51" t="s">
        <v>52</v>
      </c>
      <c r="D51" t="s">
        <v>85</v>
      </c>
      <c r="E51" t="s">
        <v>27</v>
      </c>
      <c r="F51">
        <v>1</v>
      </c>
      <c r="G51" s="6">
        <v>7.0000000000000007E-2</v>
      </c>
      <c r="H51" s="8">
        <v>14.82</v>
      </c>
      <c r="I51" s="9">
        <v>7.0000000000000007E-2</v>
      </c>
      <c r="J51" s="8">
        <v>19.88</v>
      </c>
      <c r="K51" s="8">
        <v>1.174056</v>
      </c>
      <c r="L51" s="13">
        <v>8.5199999999999998E-2</v>
      </c>
      <c r="M51" s="8">
        <v>17.86</v>
      </c>
      <c r="N51" s="8">
        <v>1.97</v>
      </c>
      <c r="O51" s="8">
        <v>14.575944</v>
      </c>
      <c r="P51" t="str">
        <f t="shared" si="0"/>
        <v>470860,07</v>
      </c>
      <c r="R51">
        <f t="shared" si="1"/>
        <v>0</v>
      </c>
      <c r="S51" s="12">
        <f t="shared" si="2"/>
        <v>0</v>
      </c>
    </row>
    <row r="52" spans="1:19" x14ac:dyDescent="0.25">
      <c r="A52" s="1">
        <v>7891058022136</v>
      </c>
      <c r="B52" s="1">
        <v>47086</v>
      </c>
      <c r="C52" t="s">
        <v>52</v>
      </c>
      <c r="D52" t="s">
        <v>85</v>
      </c>
      <c r="E52" t="s">
        <v>98</v>
      </c>
      <c r="F52">
        <v>4</v>
      </c>
      <c r="G52" s="6">
        <v>0.09</v>
      </c>
      <c r="H52" s="8">
        <v>14.82</v>
      </c>
      <c r="I52" s="9">
        <v>0.09</v>
      </c>
      <c r="J52" s="8">
        <v>19.88</v>
      </c>
      <c r="K52" s="8">
        <v>1.149348</v>
      </c>
      <c r="L52" s="13">
        <v>8.5199999999999998E-2</v>
      </c>
      <c r="M52" s="8">
        <v>17.86</v>
      </c>
      <c r="N52" s="8">
        <v>2</v>
      </c>
      <c r="O52" s="8">
        <v>14.340652</v>
      </c>
      <c r="P52" t="str">
        <f t="shared" si="0"/>
        <v>470860,09</v>
      </c>
      <c r="R52">
        <f t="shared" si="1"/>
        <v>0</v>
      </c>
      <c r="S52" s="12">
        <f t="shared" si="2"/>
        <v>0</v>
      </c>
    </row>
    <row r="53" spans="1:19" x14ac:dyDescent="0.25">
      <c r="A53" s="1">
        <v>7891058022136</v>
      </c>
      <c r="B53" s="1">
        <v>47086</v>
      </c>
      <c r="C53" t="s">
        <v>52</v>
      </c>
      <c r="D53" t="s">
        <v>85</v>
      </c>
      <c r="E53" t="s">
        <v>99</v>
      </c>
      <c r="F53">
        <v>8</v>
      </c>
      <c r="G53" s="6">
        <v>0.11</v>
      </c>
      <c r="H53" s="8">
        <v>14.82</v>
      </c>
      <c r="I53" s="9">
        <v>0.11</v>
      </c>
      <c r="J53" s="8">
        <v>19.88</v>
      </c>
      <c r="K53" s="8">
        <v>1.123788</v>
      </c>
      <c r="L53" s="13">
        <v>8.5199999999999998E-2</v>
      </c>
      <c r="M53" s="8">
        <v>17.86</v>
      </c>
      <c r="N53" s="8">
        <v>2.0299999999999998</v>
      </c>
      <c r="O53" s="8">
        <v>14.096212</v>
      </c>
      <c r="P53" t="str">
        <f t="shared" si="0"/>
        <v>470860,11</v>
      </c>
      <c r="R53">
        <f t="shared" si="1"/>
        <v>47086</v>
      </c>
      <c r="S53" s="12">
        <f t="shared" si="2"/>
        <v>8</v>
      </c>
    </row>
    <row r="54" spans="1:19" x14ac:dyDescent="0.25">
      <c r="A54" s="1">
        <v>7891058017392</v>
      </c>
      <c r="B54" s="1">
        <v>41533</v>
      </c>
      <c r="C54" t="s">
        <v>52</v>
      </c>
      <c r="D54" t="s">
        <v>53</v>
      </c>
      <c r="E54" t="s">
        <v>27</v>
      </c>
      <c r="F54" s="1">
        <v>1</v>
      </c>
      <c r="G54" s="6">
        <v>0.09</v>
      </c>
      <c r="H54" s="8">
        <v>35.700000000000003</v>
      </c>
      <c r="I54" s="9">
        <v>7.0000000000000007E-2</v>
      </c>
      <c r="J54" s="8">
        <v>47.89</v>
      </c>
      <c r="K54" s="8">
        <v>2.82864</v>
      </c>
      <c r="L54" s="13">
        <v>8.5199999999999998E-2</v>
      </c>
      <c r="M54" s="8">
        <v>39.85</v>
      </c>
      <c r="N54" s="8">
        <v>4.13</v>
      </c>
      <c r="O54" s="8">
        <v>34.501359999999998</v>
      </c>
      <c r="P54" t="str">
        <f t="shared" si="0"/>
        <v>415330,09</v>
      </c>
      <c r="R54">
        <f t="shared" si="1"/>
        <v>0</v>
      </c>
      <c r="S54" s="12">
        <f t="shared" si="2"/>
        <v>0</v>
      </c>
    </row>
    <row r="55" spans="1:19" x14ac:dyDescent="0.25">
      <c r="A55" s="1">
        <v>7891058017392</v>
      </c>
      <c r="B55" s="1">
        <v>41533</v>
      </c>
      <c r="C55" t="s">
        <v>52</v>
      </c>
      <c r="D55" t="s">
        <v>53</v>
      </c>
      <c r="E55" t="s">
        <v>98</v>
      </c>
      <c r="F55" s="1">
        <v>2</v>
      </c>
      <c r="G55" s="6">
        <v>0.11</v>
      </c>
      <c r="H55" s="8">
        <v>193.75</v>
      </c>
      <c r="I55" s="9">
        <v>0.11</v>
      </c>
      <c r="J55" s="8">
        <v>259.91000000000003</v>
      </c>
      <c r="K55" s="8">
        <v>14.691888000000001</v>
      </c>
      <c r="L55" s="13">
        <v>8.5199999999999998E-2</v>
      </c>
      <c r="M55" s="8">
        <v>236.4</v>
      </c>
      <c r="N55" s="8">
        <v>27.17</v>
      </c>
      <c r="O55" s="8">
        <v>184.91811200000001</v>
      </c>
      <c r="P55" t="str">
        <f t="shared" si="0"/>
        <v>415330,11</v>
      </c>
      <c r="R55">
        <f t="shared" si="1"/>
        <v>0</v>
      </c>
      <c r="S55" s="12">
        <f t="shared" si="2"/>
        <v>0</v>
      </c>
    </row>
    <row r="56" spans="1:19" x14ac:dyDescent="0.25">
      <c r="A56" s="1">
        <v>7891058017392</v>
      </c>
      <c r="B56" s="1">
        <v>41533</v>
      </c>
      <c r="C56" t="s">
        <v>52</v>
      </c>
      <c r="D56" t="s">
        <v>53</v>
      </c>
      <c r="E56" t="s">
        <v>99</v>
      </c>
      <c r="F56" s="1">
        <v>4</v>
      </c>
      <c r="G56" s="6">
        <v>0.13</v>
      </c>
      <c r="H56" s="8">
        <v>193.75</v>
      </c>
      <c r="I56" s="9">
        <v>0.13</v>
      </c>
      <c r="J56" s="8">
        <v>259.91000000000003</v>
      </c>
      <c r="K56" s="8">
        <v>14.361312</v>
      </c>
      <c r="L56" s="13">
        <v>8.5199999999999998E-2</v>
      </c>
      <c r="M56" s="8">
        <v>236.4</v>
      </c>
      <c r="N56" s="8">
        <v>27.6</v>
      </c>
      <c r="O56" s="8">
        <v>181.798688</v>
      </c>
      <c r="P56" t="str">
        <f t="shared" si="0"/>
        <v>415330,13</v>
      </c>
      <c r="R56">
        <f t="shared" si="1"/>
        <v>41533</v>
      </c>
      <c r="S56" s="12">
        <f t="shared" si="2"/>
        <v>4</v>
      </c>
    </row>
    <row r="57" spans="1:19" x14ac:dyDescent="0.25">
      <c r="A57" s="1">
        <v>7891058017507</v>
      </c>
      <c r="B57" s="1">
        <v>41802</v>
      </c>
      <c r="C57" t="s">
        <v>52</v>
      </c>
      <c r="D57" t="s">
        <v>86</v>
      </c>
      <c r="E57" t="s">
        <v>27</v>
      </c>
      <c r="F57">
        <v>1</v>
      </c>
      <c r="G57" s="6">
        <v>0.08</v>
      </c>
      <c r="H57" s="8">
        <v>18.940000000000001</v>
      </c>
      <c r="I57" s="9">
        <v>0.08</v>
      </c>
      <c r="J57" s="8">
        <v>25.41</v>
      </c>
      <c r="K57" s="8">
        <v>1.4841839999999999</v>
      </c>
      <c r="L57" s="13">
        <v>8.5199999999999998E-2</v>
      </c>
      <c r="M57" s="8">
        <v>20.350000000000001</v>
      </c>
      <c r="N57" s="8">
        <v>2.06</v>
      </c>
      <c r="O57" s="8">
        <v>17.995816000000001</v>
      </c>
      <c r="P57" t="str">
        <f t="shared" si="0"/>
        <v>418020,08</v>
      </c>
      <c r="R57">
        <f t="shared" si="1"/>
        <v>0</v>
      </c>
      <c r="S57" s="12">
        <f t="shared" si="2"/>
        <v>0</v>
      </c>
    </row>
    <row r="58" spans="1:19" x14ac:dyDescent="0.25">
      <c r="A58" s="1">
        <v>7891058017507</v>
      </c>
      <c r="B58" s="1">
        <v>41802</v>
      </c>
      <c r="C58" t="s">
        <v>52</v>
      </c>
      <c r="D58" t="s">
        <v>86</v>
      </c>
      <c r="E58" t="s">
        <v>98</v>
      </c>
      <c r="F58" s="1">
        <v>30</v>
      </c>
      <c r="G58" s="6">
        <v>0.1</v>
      </c>
      <c r="H58" s="8">
        <v>18.940000000000001</v>
      </c>
      <c r="I58" s="9">
        <v>0.1</v>
      </c>
      <c r="J58" s="8">
        <v>25.41</v>
      </c>
      <c r="K58" s="8">
        <v>1.4526600000000001</v>
      </c>
      <c r="L58" s="13">
        <v>8.5199999999999998E-2</v>
      </c>
      <c r="M58" s="8">
        <v>20.350000000000001</v>
      </c>
      <c r="N58" s="8">
        <v>2.1</v>
      </c>
      <c r="O58" s="8">
        <v>17.697340000000001</v>
      </c>
      <c r="P58" t="str">
        <f t="shared" si="0"/>
        <v>418020,1</v>
      </c>
      <c r="R58">
        <f t="shared" si="1"/>
        <v>0</v>
      </c>
      <c r="S58" s="12">
        <f t="shared" si="2"/>
        <v>0</v>
      </c>
    </row>
    <row r="59" spans="1:19" x14ac:dyDescent="0.25">
      <c r="A59" s="1">
        <v>7891058017507</v>
      </c>
      <c r="B59" s="1">
        <v>41802</v>
      </c>
      <c r="C59" t="s">
        <v>52</v>
      </c>
      <c r="D59" t="s">
        <v>86</v>
      </c>
      <c r="E59" t="s">
        <v>99</v>
      </c>
      <c r="F59" s="1">
        <v>60</v>
      </c>
      <c r="G59" s="6">
        <v>0.12</v>
      </c>
      <c r="H59" s="8">
        <v>18.940000000000001</v>
      </c>
      <c r="I59" s="9">
        <v>0.12</v>
      </c>
      <c r="J59" s="8">
        <v>25.41</v>
      </c>
      <c r="K59" s="8">
        <v>1.4202840000000001</v>
      </c>
      <c r="L59" s="13">
        <v>8.5199999999999998E-2</v>
      </c>
      <c r="M59" s="8">
        <v>20.350000000000001</v>
      </c>
      <c r="N59" s="8">
        <v>2.14</v>
      </c>
      <c r="O59" s="8">
        <v>17.389716</v>
      </c>
      <c r="P59" t="str">
        <f t="shared" si="0"/>
        <v>418020,12</v>
      </c>
      <c r="R59">
        <f t="shared" si="1"/>
        <v>41802</v>
      </c>
      <c r="S59" s="12">
        <f t="shared" si="2"/>
        <v>60</v>
      </c>
    </row>
    <row r="60" spans="1:19" x14ac:dyDescent="0.25">
      <c r="A60" s="1">
        <v>7891058005474</v>
      </c>
      <c r="B60" s="1">
        <v>56662</v>
      </c>
      <c r="C60" t="s">
        <v>52</v>
      </c>
      <c r="D60" t="s">
        <v>87</v>
      </c>
      <c r="E60" t="s">
        <v>27</v>
      </c>
      <c r="F60">
        <v>1</v>
      </c>
      <c r="G60" s="6">
        <v>0.12</v>
      </c>
      <c r="H60" s="8">
        <v>13.23</v>
      </c>
      <c r="I60" s="9">
        <v>0.12</v>
      </c>
      <c r="J60" s="8">
        <v>17.75</v>
      </c>
      <c r="K60" s="8">
        <v>0.99172800000000005</v>
      </c>
      <c r="L60" s="13">
        <v>8.5199999999999998E-2</v>
      </c>
      <c r="M60" s="8">
        <v>12.46</v>
      </c>
      <c r="N60" s="8">
        <v>1.1499999999999999</v>
      </c>
      <c r="O60" s="8">
        <v>11.798272000000001</v>
      </c>
      <c r="P60" t="str">
        <f t="shared" si="0"/>
        <v>566620,12</v>
      </c>
      <c r="R60">
        <f t="shared" si="1"/>
        <v>0</v>
      </c>
      <c r="S60" s="12">
        <f t="shared" si="2"/>
        <v>0</v>
      </c>
    </row>
    <row r="61" spans="1:19" x14ac:dyDescent="0.25">
      <c r="A61" s="1">
        <v>7891058005474</v>
      </c>
      <c r="B61" s="1">
        <v>56662</v>
      </c>
      <c r="C61" t="s">
        <v>52</v>
      </c>
      <c r="D61" t="s">
        <v>87</v>
      </c>
      <c r="E61" t="s">
        <v>98</v>
      </c>
      <c r="F61">
        <v>10</v>
      </c>
      <c r="G61" s="6">
        <v>0.3</v>
      </c>
      <c r="H61" s="8">
        <v>13.23</v>
      </c>
      <c r="I61" s="9">
        <v>0.3</v>
      </c>
      <c r="J61" s="8">
        <v>17.75</v>
      </c>
      <c r="K61" s="8">
        <v>0.78895199999999999</v>
      </c>
      <c r="L61" s="13">
        <v>8.5199999999999998E-2</v>
      </c>
      <c r="M61" s="8">
        <v>12.46</v>
      </c>
      <c r="N61" s="8">
        <v>1.41</v>
      </c>
      <c r="O61" s="8">
        <v>9.8810479999999998</v>
      </c>
      <c r="P61" t="str">
        <f t="shared" si="0"/>
        <v>566620,3</v>
      </c>
      <c r="R61">
        <f t="shared" si="1"/>
        <v>0</v>
      </c>
      <c r="S61" s="12">
        <f t="shared" si="2"/>
        <v>0</v>
      </c>
    </row>
    <row r="62" spans="1:19" x14ac:dyDescent="0.25">
      <c r="A62" s="1">
        <v>7891058005474</v>
      </c>
      <c r="B62" s="1">
        <v>56662</v>
      </c>
      <c r="C62" t="s">
        <v>52</v>
      </c>
      <c r="D62" t="s">
        <v>87</v>
      </c>
      <c r="E62" t="s">
        <v>99</v>
      </c>
      <c r="F62">
        <v>20</v>
      </c>
      <c r="G62" s="6">
        <v>0.45</v>
      </c>
      <c r="H62" s="8">
        <v>13.23</v>
      </c>
      <c r="I62" s="9">
        <v>0.45</v>
      </c>
      <c r="J62" s="8">
        <v>17.75</v>
      </c>
      <c r="K62" s="8">
        <v>0.62025600000000003</v>
      </c>
      <c r="L62" s="13">
        <v>8.5199999999999998E-2</v>
      </c>
      <c r="M62" s="8">
        <v>12.46</v>
      </c>
      <c r="N62" s="8">
        <v>1.63</v>
      </c>
      <c r="O62" s="8">
        <v>8.2897440000000007</v>
      </c>
      <c r="P62" t="str">
        <f t="shared" si="0"/>
        <v>566620,45</v>
      </c>
      <c r="R62">
        <f t="shared" si="1"/>
        <v>56662</v>
      </c>
      <c r="S62" s="12">
        <f t="shared" si="2"/>
        <v>20</v>
      </c>
    </row>
    <row r="63" spans="1:19" x14ac:dyDescent="0.25">
      <c r="A63" s="1">
        <v>7891058009458</v>
      </c>
      <c r="B63" s="1">
        <v>7536</v>
      </c>
      <c r="C63" t="s">
        <v>52</v>
      </c>
      <c r="D63" t="s">
        <v>54</v>
      </c>
      <c r="E63" t="s">
        <v>27</v>
      </c>
      <c r="F63">
        <v>1</v>
      </c>
      <c r="G63" s="6">
        <v>0.1</v>
      </c>
      <c r="H63" s="8">
        <v>56.75</v>
      </c>
      <c r="I63" s="9">
        <v>0.23</v>
      </c>
      <c r="J63" s="8">
        <v>0</v>
      </c>
      <c r="K63" s="8">
        <v>0</v>
      </c>
      <c r="L63" s="13">
        <v>0</v>
      </c>
      <c r="M63" s="8">
        <v>0</v>
      </c>
      <c r="N63" s="8">
        <v>0</v>
      </c>
      <c r="O63" s="8">
        <v>43.7</v>
      </c>
      <c r="P63" t="str">
        <f t="shared" si="0"/>
        <v>75360,1</v>
      </c>
      <c r="R63">
        <f t="shared" si="1"/>
        <v>0</v>
      </c>
      <c r="S63" s="12">
        <f t="shared" si="2"/>
        <v>0</v>
      </c>
    </row>
    <row r="64" spans="1:19" x14ac:dyDescent="0.25">
      <c r="A64" s="1">
        <v>7891058003975</v>
      </c>
      <c r="B64" s="1">
        <v>57351</v>
      </c>
      <c r="C64" t="s">
        <v>52</v>
      </c>
      <c r="D64" t="s">
        <v>88</v>
      </c>
      <c r="E64" t="s">
        <v>27</v>
      </c>
      <c r="F64">
        <v>1</v>
      </c>
      <c r="G64" s="6">
        <v>0.08</v>
      </c>
      <c r="H64" s="8">
        <v>24.21</v>
      </c>
      <c r="I64" s="9">
        <v>0.08</v>
      </c>
      <c r="J64" s="8">
        <v>32.479999999999997</v>
      </c>
      <c r="K64" s="8">
        <v>1.8974040000000001</v>
      </c>
      <c r="L64" s="13">
        <v>8.5199999999999998E-2</v>
      </c>
      <c r="M64" s="8">
        <v>27.79</v>
      </c>
      <c r="N64" s="8">
        <v>2.98</v>
      </c>
      <c r="O64" s="8">
        <v>23.352595999999998</v>
      </c>
      <c r="P64" t="str">
        <f t="shared" si="0"/>
        <v>573510,08</v>
      </c>
      <c r="R64">
        <f t="shared" si="1"/>
        <v>0</v>
      </c>
      <c r="S64" s="12">
        <f t="shared" si="2"/>
        <v>0</v>
      </c>
    </row>
    <row r="65" spans="1:19" x14ac:dyDescent="0.25">
      <c r="A65" s="1">
        <v>7891058003975</v>
      </c>
      <c r="B65" s="1">
        <v>57351</v>
      </c>
      <c r="C65" t="s">
        <v>52</v>
      </c>
      <c r="D65" t="s">
        <v>88</v>
      </c>
      <c r="E65" t="s">
        <v>98</v>
      </c>
      <c r="F65" s="1">
        <v>3</v>
      </c>
      <c r="G65" s="6">
        <v>0.13</v>
      </c>
      <c r="H65" s="8">
        <v>24.21</v>
      </c>
      <c r="I65" s="9">
        <v>0.13</v>
      </c>
      <c r="J65" s="8">
        <v>32.479999999999997</v>
      </c>
      <c r="K65" s="8">
        <v>1.7943119999999999</v>
      </c>
      <c r="L65" s="13">
        <v>8.5199999999999998E-2</v>
      </c>
      <c r="M65" s="8">
        <v>27.79</v>
      </c>
      <c r="N65" s="8">
        <v>3.11</v>
      </c>
      <c r="O65" s="8">
        <v>22.375688</v>
      </c>
      <c r="P65" t="str">
        <f t="shared" si="0"/>
        <v>573510,13</v>
      </c>
      <c r="R65">
        <f t="shared" si="1"/>
        <v>0</v>
      </c>
      <c r="S65" s="12">
        <f t="shared" si="2"/>
        <v>0</v>
      </c>
    </row>
    <row r="66" spans="1:19" x14ac:dyDescent="0.25">
      <c r="A66" s="1">
        <v>7891058003975</v>
      </c>
      <c r="B66" s="1">
        <v>57351</v>
      </c>
      <c r="C66" t="s">
        <v>52</v>
      </c>
      <c r="D66" t="s">
        <v>88</v>
      </c>
      <c r="E66" t="s">
        <v>99</v>
      </c>
      <c r="F66" s="1">
        <v>4</v>
      </c>
      <c r="G66" s="6">
        <v>0.16</v>
      </c>
      <c r="H66" s="8">
        <v>24.21</v>
      </c>
      <c r="I66" s="9">
        <v>0.16</v>
      </c>
      <c r="J66" s="8">
        <v>32.479999999999997</v>
      </c>
      <c r="K66" s="8">
        <v>1.7329680000000001</v>
      </c>
      <c r="L66" s="13">
        <v>8.5199999999999998E-2</v>
      </c>
      <c r="M66" s="8">
        <v>27.79</v>
      </c>
      <c r="N66" s="8">
        <v>3.19</v>
      </c>
      <c r="O66" s="8">
        <v>21.797032000000002</v>
      </c>
      <c r="P66" t="str">
        <f t="shared" si="0"/>
        <v>573510,16</v>
      </c>
      <c r="R66">
        <f t="shared" si="1"/>
        <v>57351</v>
      </c>
      <c r="S66" s="12">
        <f t="shared" si="2"/>
        <v>4</v>
      </c>
    </row>
    <row r="67" spans="1:19" x14ac:dyDescent="0.25">
      <c r="A67" s="1">
        <v>7891058003944</v>
      </c>
      <c r="B67" s="1">
        <v>57353</v>
      </c>
      <c r="C67" t="s">
        <v>52</v>
      </c>
      <c r="D67" t="s">
        <v>89</v>
      </c>
      <c r="E67" t="s">
        <v>27</v>
      </c>
      <c r="F67">
        <v>1</v>
      </c>
      <c r="G67" s="6">
        <v>0.08</v>
      </c>
      <c r="H67" s="8">
        <v>13.42</v>
      </c>
      <c r="I67" s="9">
        <v>0.08</v>
      </c>
      <c r="J67" s="8">
        <v>18</v>
      </c>
      <c r="K67" s="8">
        <v>1.0522199999999999</v>
      </c>
      <c r="L67" s="13">
        <v>8.5199999999999998E-2</v>
      </c>
      <c r="M67" s="8">
        <v>16.02</v>
      </c>
      <c r="N67" s="8">
        <v>1.76</v>
      </c>
      <c r="O67" s="8">
        <v>13.057779999999999</v>
      </c>
      <c r="P67" t="str">
        <f t="shared" ref="P67:P130" si="3">B67&amp;G67</f>
        <v>573530,08</v>
      </c>
      <c r="R67">
        <f t="shared" ref="R67:R130" si="4">IF(S67&gt;0,B67,0)</f>
        <v>0</v>
      </c>
      <c r="S67" s="12">
        <f t="shared" ref="S67:S130" si="5">IF(E67="DEFAULT-FAIXA 2",F67,0)</f>
        <v>0</v>
      </c>
    </row>
    <row r="68" spans="1:19" x14ac:dyDescent="0.25">
      <c r="A68" s="1">
        <v>7891058003944</v>
      </c>
      <c r="B68" s="1">
        <v>57353</v>
      </c>
      <c r="C68" t="s">
        <v>52</v>
      </c>
      <c r="D68" t="s">
        <v>89</v>
      </c>
      <c r="E68" t="s">
        <v>98</v>
      </c>
      <c r="F68" s="1">
        <v>4</v>
      </c>
      <c r="G68" s="6">
        <v>0.13</v>
      </c>
      <c r="H68" s="8">
        <v>13.42</v>
      </c>
      <c r="I68" s="9">
        <v>0.13</v>
      </c>
      <c r="J68" s="8">
        <v>18</v>
      </c>
      <c r="K68" s="8">
        <v>0.99513600000000002</v>
      </c>
      <c r="L68" s="13">
        <v>8.5199999999999998E-2</v>
      </c>
      <c r="M68" s="8">
        <v>16.02</v>
      </c>
      <c r="N68" s="8">
        <v>1.84</v>
      </c>
      <c r="O68" s="8">
        <v>12.524864000000001</v>
      </c>
      <c r="P68" t="str">
        <f t="shared" si="3"/>
        <v>573530,13</v>
      </c>
      <c r="R68">
        <f t="shared" si="4"/>
        <v>0</v>
      </c>
      <c r="S68" s="12">
        <f t="shared" si="5"/>
        <v>0</v>
      </c>
    </row>
    <row r="69" spans="1:19" x14ac:dyDescent="0.25">
      <c r="A69" s="1">
        <v>7891058003944</v>
      </c>
      <c r="B69" s="1">
        <v>57353</v>
      </c>
      <c r="C69" t="s">
        <v>52</v>
      </c>
      <c r="D69" t="s">
        <v>89</v>
      </c>
      <c r="E69" t="s">
        <v>99</v>
      </c>
      <c r="F69" s="1">
        <v>8</v>
      </c>
      <c r="G69" s="6">
        <v>0.16</v>
      </c>
      <c r="H69" s="8">
        <v>13.42</v>
      </c>
      <c r="I69" s="9">
        <v>0.16</v>
      </c>
      <c r="J69" s="8">
        <v>18</v>
      </c>
      <c r="K69" s="8">
        <v>0.96020399999999995</v>
      </c>
      <c r="L69" s="13">
        <v>8.5199999999999998E-2</v>
      </c>
      <c r="M69" s="8">
        <v>16.02</v>
      </c>
      <c r="N69" s="8">
        <v>1.88</v>
      </c>
      <c r="O69" s="8">
        <v>12.189795999999999</v>
      </c>
      <c r="P69" t="str">
        <f t="shared" si="3"/>
        <v>573530,16</v>
      </c>
      <c r="R69">
        <f t="shared" si="4"/>
        <v>57353</v>
      </c>
      <c r="S69" s="12">
        <f t="shared" si="5"/>
        <v>8</v>
      </c>
    </row>
    <row r="70" spans="1:19" x14ac:dyDescent="0.25">
      <c r="A70" s="1">
        <v>7891058003937</v>
      </c>
      <c r="B70" s="1">
        <v>57352</v>
      </c>
      <c r="C70" t="s">
        <v>52</v>
      </c>
      <c r="D70" t="s">
        <v>55</v>
      </c>
      <c r="E70" t="s">
        <v>27</v>
      </c>
      <c r="F70" s="1">
        <v>1</v>
      </c>
      <c r="G70" s="6">
        <v>0.1</v>
      </c>
      <c r="H70" s="8">
        <v>150.07</v>
      </c>
      <c r="I70" s="9">
        <v>0.1</v>
      </c>
      <c r="J70" s="8">
        <v>201.31</v>
      </c>
      <c r="K70" s="8">
        <v>11.507111999999999</v>
      </c>
      <c r="L70" s="13">
        <v>8.5199999999999998E-2</v>
      </c>
      <c r="M70" s="8">
        <v>9.51</v>
      </c>
      <c r="N70" s="8">
        <v>0</v>
      </c>
      <c r="O70" s="8">
        <v>123.552888</v>
      </c>
      <c r="P70" t="str">
        <f t="shared" si="3"/>
        <v>573520,1</v>
      </c>
      <c r="R70">
        <f t="shared" si="4"/>
        <v>0</v>
      </c>
      <c r="S70" s="12">
        <f t="shared" si="5"/>
        <v>0</v>
      </c>
    </row>
    <row r="71" spans="1:19" x14ac:dyDescent="0.25">
      <c r="A71" s="1">
        <v>7891058022815</v>
      </c>
      <c r="B71" s="1">
        <v>47552</v>
      </c>
      <c r="C71" t="s">
        <v>52</v>
      </c>
      <c r="D71" t="s">
        <v>90</v>
      </c>
      <c r="E71" t="s">
        <v>27</v>
      </c>
      <c r="F71">
        <v>1</v>
      </c>
      <c r="G71" s="6">
        <v>7.0000000000000007E-2</v>
      </c>
      <c r="H71" s="8">
        <v>14.73</v>
      </c>
      <c r="I71" s="9">
        <v>7.0000000000000007E-2</v>
      </c>
      <c r="J71" s="8">
        <v>19.760000000000002</v>
      </c>
      <c r="K71" s="8">
        <v>1.1672400000000001</v>
      </c>
      <c r="L71" s="13">
        <v>8.5199999999999998E-2</v>
      </c>
      <c r="M71" s="8">
        <v>17.23</v>
      </c>
      <c r="N71" s="8">
        <v>1.86</v>
      </c>
      <c r="O71" s="8">
        <v>14.392760000000001</v>
      </c>
      <c r="P71" t="str">
        <f t="shared" si="3"/>
        <v>475520,07</v>
      </c>
      <c r="R71">
        <f t="shared" si="4"/>
        <v>0</v>
      </c>
      <c r="S71" s="12">
        <f t="shared" si="5"/>
        <v>0</v>
      </c>
    </row>
    <row r="72" spans="1:19" x14ac:dyDescent="0.25">
      <c r="A72" s="1">
        <v>7891058022815</v>
      </c>
      <c r="B72" s="1">
        <v>47552</v>
      </c>
      <c r="C72" t="s">
        <v>52</v>
      </c>
      <c r="D72" t="s">
        <v>90</v>
      </c>
      <c r="E72" t="s">
        <v>98</v>
      </c>
      <c r="F72">
        <v>3</v>
      </c>
      <c r="G72" s="6">
        <v>0.11</v>
      </c>
      <c r="H72" s="8">
        <v>14.73</v>
      </c>
      <c r="I72" s="9">
        <v>0.11</v>
      </c>
      <c r="J72" s="8">
        <v>19.760000000000002</v>
      </c>
      <c r="K72" s="8">
        <v>1.1169720000000001</v>
      </c>
      <c r="L72" s="13">
        <v>8.5199999999999998E-2</v>
      </c>
      <c r="M72" s="8">
        <v>17.23</v>
      </c>
      <c r="N72" s="8">
        <v>1.92</v>
      </c>
      <c r="O72" s="8">
        <v>13.913028000000001</v>
      </c>
      <c r="P72" t="str">
        <f t="shared" si="3"/>
        <v>475520,11</v>
      </c>
      <c r="R72">
        <f t="shared" si="4"/>
        <v>0</v>
      </c>
      <c r="S72" s="12">
        <f t="shared" si="5"/>
        <v>0</v>
      </c>
    </row>
    <row r="73" spans="1:19" x14ac:dyDescent="0.25">
      <c r="A73" s="1">
        <v>7891058022815</v>
      </c>
      <c r="B73" s="1">
        <v>47552</v>
      </c>
      <c r="C73" t="s">
        <v>52</v>
      </c>
      <c r="D73" t="s">
        <v>90</v>
      </c>
      <c r="E73" t="s">
        <v>99</v>
      </c>
      <c r="F73">
        <v>6</v>
      </c>
      <c r="G73" s="6">
        <v>0.12</v>
      </c>
      <c r="H73" s="8">
        <v>14.73</v>
      </c>
      <c r="I73" s="9">
        <v>0.12</v>
      </c>
      <c r="J73" s="8">
        <v>19.760000000000002</v>
      </c>
      <c r="K73" s="8">
        <v>1.1041920000000001</v>
      </c>
      <c r="L73" s="13">
        <v>8.5199999999999998E-2</v>
      </c>
      <c r="M73" s="8">
        <v>17.23</v>
      </c>
      <c r="N73" s="8">
        <v>1.94</v>
      </c>
      <c r="O73" s="8">
        <v>13.795807999999999</v>
      </c>
      <c r="P73" t="str">
        <f t="shared" si="3"/>
        <v>475520,12</v>
      </c>
      <c r="R73">
        <f t="shared" si="4"/>
        <v>47552</v>
      </c>
      <c r="S73" s="12">
        <f t="shared" si="5"/>
        <v>6</v>
      </c>
    </row>
    <row r="74" spans="1:19" x14ac:dyDescent="0.25">
      <c r="A74" s="1">
        <v>7891058000103</v>
      </c>
      <c r="B74" s="1">
        <v>51973</v>
      </c>
      <c r="C74" t="s">
        <v>52</v>
      </c>
      <c r="D74" t="s">
        <v>56</v>
      </c>
      <c r="E74" t="s">
        <v>27</v>
      </c>
      <c r="F74">
        <v>1</v>
      </c>
      <c r="G74" s="6">
        <v>7.0000000000000007E-2</v>
      </c>
      <c r="H74" s="8">
        <v>23.86</v>
      </c>
      <c r="I74" s="9">
        <v>7.0000000000000007E-2</v>
      </c>
      <c r="J74" s="8">
        <v>32.01</v>
      </c>
      <c r="K74" s="8">
        <v>1.8905879999999999</v>
      </c>
      <c r="L74" s="13">
        <v>8.5199999999999998E-2</v>
      </c>
      <c r="M74" s="8">
        <v>27.33</v>
      </c>
      <c r="N74" s="8">
        <v>2.89</v>
      </c>
      <c r="O74" s="8">
        <v>23.189412000000001</v>
      </c>
      <c r="P74" t="str">
        <f t="shared" si="3"/>
        <v>519730,07</v>
      </c>
      <c r="R74">
        <f t="shared" si="4"/>
        <v>0</v>
      </c>
      <c r="S74" s="12">
        <f t="shared" si="5"/>
        <v>0</v>
      </c>
    </row>
    <row r="75" spans="1:19" x14ac:dyDescent="0.25">
      <c r="A75" s="1">
        <v>7891058000103</v>
      </c>
      <c r="B75" s="1">
        <v>51973</v>
      </c>
      <c r="C75" t="s">
        <v>52</v>
      </c>
      <c r="D75" t="s">
        <v>56</v>
      </c>
      <c r="E75" t="s">
        <v>98</v>
      </c>
      <c r="F75">
        <v>3</v>
      </c>
      <c r="G75" s="6">
        <v>0.11</v>
      </c>
      <c r="H75" s="8">
        <v>23.86</v>
      </c>
      <c r="I75" s="9">
        <v>0.11</v>
      </c>
      <c r="J75" s="8">
        <v>32.01</v>
      </c>
      <c r="K75" s="8">
        <v>1.8096479999999999</v>
      </c>
      <c r="L75" s="13">
        <v>8.5199999999999998E-2</v>
      </c>
      <c r="M75" s="8">
        <v>27.33</v>
      </c>
      <c r="N75" s="8">
        <v>3</v>
      </c>
      <c r="O75" s="8">
        <v>22.430351999999999</v>
      </c>
      <c r="P75" t="str">
        <f t="shared" si="3"/>
        <v>519730,11</v>
      </c>
      <c r="R75">
        <f t="shared" si="4"/>
        <v>0</v>
      </c>
      <c r="S75" s="12">
        <f t="shared" si="5"/>
        <v>0</v>
      </c>
    </row>
    <row r="76" spans="1:19" x14ac:dyDescent="0.25">
      <c r="A76" s="1">
        <v>7891058000103</v>
      </c>
      <c r="B76" s="1">
        <v>51973</v>
      </c>
      <c r="C76" t="s">
        <v>52</v>
      </c>
      <c r="D76" t="s">
        <v>56</v>
      </c>
      <c r="E76" t="s">
        <v>99</v>
      </c>
      <c r="F76">
        <v>4</v>
      </c>
      <c r="G76" s="6">
        <v>0.12</v>
      </c>
      <c r="H76" s="8">
        <v>23.86</v>
      </c>
      <c r="I76" s="9">
        <v>0.12</v>
      </c>
      <c r="J76" s="8">
        <v>32.01</v>
      </c>
      <c r="K76" s="8">
        <v>1.7891999999999999</v>
      </c>
      <c r="L76" s="13">
        <v>8.5199999999999998E-2</v>
      </c>
      <c r="M76" s="8">
        <v>27.33</v>
      </c>
      <c r="N76" s="8">
        <v>3.02</v>
      </c>
      <c r="O76" s="8">
        <v>22.230799999999999</v>
      </c>
      <c r="P76" t="str">
        <f t="shared" si="3"/>
        <v>519730,12</v>
      </c>
      <c r="R76">
        <f t="shared" si="4"/>
        <v>51973</v>
      </c>
      <c r="S76" s="12">
        <f t="shared" si="5"/>
        <v>4</v>
      </c>
    </row>
    <row r="77" spans="1:19" x14ac:dyDescent="0.25">
      <c r="A77" s="1">
        <v>7891058021528</v>
      </c>
      <c r="B77" s="1">
        <v>197</v>
      </c>
      <c r="C77" t="s">
        <v>57</v>
      </c>
      <c r="D77" t="s">
        <v>58</v>
      </c>
      <c r="E77" t="s">
        <v>27</v>
      </c>
      <c r="F77">
        <v>1</v>
      </c>
      <c r="G77" s="6">
        <v>0.09</v>
      </c>
      <c r="H77" s="8">
        <v>15.54</v>
      </c>
      <c r="I77" s="9">
        <v>0.09</v>
      </c>
      <c r="J77" s="8">
        <v>20.85</v>
      </c>
      <c r="K77" s="8">
        <v>1.204728</v>
      </c>
      <c r="L77" s="13">
        <v>8.5199999999999998E-2</v>
      </c>
      <c r="M77" s="8">
        <v>18.3</v>
      </c>
      <c r="N77" s="8">
        <v>2.02</v>
      </c>
      <c r="O77" s="8">
        <v>14.955272000000001</v>
      </c>
      <c r="P77" t="str">
        <f t="shared" si="3"/>
        <v>1970,09</v>
      </c>
      <c r="R77">
        <f t="shared" si="4"/>
        <v>0</v>
      </c>
      <c r="S77" s="12">
        <f t="shared" si="5"/>
        <v>0</v>
      </c>
    </row>
    <row r="78" spans="1:19" x14ac:dyDescent="0.25">
      <c r="A78" s="1">
        <v>7891058001032</v>
      </c>
      <c r="B78" s="1">
        <v>55277</v>
      </c>
      <c r="C78" t="s">
        <v>57</v>
      </c>
      <c r="D78" t="s">
        <v>59</v>
      </c>
      <c r="E78" t="s">
        <v>27</v>
      </c>
      <c r="F78">
        <v>1</v>
      </c>
      <c r="G78" s="6">
        <v>0.09</v>
      </c>
      <c r="H78" s="8">
        <v>30</v>
      </c>
      <c r="I78" s="9">
        <v>0.09</v>
      </c>
      <c r="J78" s="8">
        <v>40.24</v>
      </c>
      <c r="K78" s="8">
        <v>2.3259599999999998</v>
      </c>
      <c r="L78" s="13">
        <v>8.5199999999999998E-2</v>
      </c>
      <c r="M78" s="8">
        <v>35.06</v>
      </c>
      <c r="N78" s="8">
        <v>3.84</v>
      </c>
      <c r="O78" s="8">
        <v>28.814039999999999</v>
      </c>
      <c r="P78" t="str">
        <f t="shared" si="3"/>
        <v>552770,09</v>
      </c>
      <c r="R78">
        <f t="shared" si="4"/>
        <v>0</v>
      </c>
      <c r="S78" s="12">
        <f t="shared" si="5"/>
        <v>0</v>
      </c>
    </row>
    <row r="79" spans="1:19" x14ac:dyDescent="0.25">
      <c r="A79" s="4">
        <v>7891058016999</v>
      </c>
      <c r="B79" s="1">
        <v>36381</v>
      </c>
      <c r="C79" s="5">
        <f>VLOOKUP(A79,$A:$D,2,0)</f>
        <v>36381</v>
      </c>
      <c r="D79" s="5" t="s">
        <v>16</v>
      </c>
      <c r="E79" s="5" t="s">
        <v>14</v>
      </c>
      <c r="F79">
        <v>30</v>
      </c>
      <c r="G79" s="6">
        <v>0.26</v>
      </c>
      <c r="H79" s="8">
        <v>39.31</v>
      </c>
      <c r="I79" s="9">
        <v>0.26</v>
      </c>
      <c r="J79" s="8">
        <v>0</v>
      </c>
      <c r="K79" s="8">
        <v>0</v>
      </c>
      <c r="L79" s="13">
        <v>0</v>
      </c>
      <c r="M79" s="8">
        <v>0</v>
      </c>
      <c r="N79" s="8">
        <v>0</v>
      </c>
      <c r="O79" s="8">
        <v>29.09</v>
      </c>
      <c r="P79" t="str">
        <f t="shared" si="3"/>
        <v>363810,26</v>
      </c>
      <c r="R79">
        <f t="shared" si="4"/>
        <v>0</v>
      </c>
      <c r="S79" s="12">
        <f t="shared" si="5"/>
        <v>0</v>
      </c>
    </row>
    <row r="80" spans="1:19" x14ac:dyDescent="0.25">
      <c r="A80" s="4">
        <v>7891058016999</v>
      </c>
      <c r="B80" s="1">
        <v>36381</v>
      </c>
      <c r="C80" s="5" t="s">
        <v>15</v>
      </c>
      <c r="D80" s="5" t="s">
        <v>16</v>
      </c>
      <c r="E80" s="5" t="s">
        <v>17</v>
      </c>
      <c r="F80">
        <v>40</v>
      </c>
      <c r="G80" s="6">
        <v>0.3</v>
      </c>
      <c r="H80" s="8">
        <v>39.31</v>
      </c>
      <c r="I80" s="9">
        <v>0.3</v>
      </c>
      <c r="J80" s="8">
        <v>0</v>
      </c>
      <c r="K80" s="8">
        <v>0</v>
      </c>
      <c r="L80" s="13">
        <v>0</v>
      </c>
      <c r="M80" s="8">
        <v>0</v>
      </c>
      <c r="N80" s="8">
        <v>0</v>
      </c>
      <c r="O80" s="8">
        <v>27.52</v>
      </c>
      <c r="P80" t="str">
        <f t="shared" si="3"/>
        <v>363810,3</v>
      </c>
      <c r="R80">
        <f t="shared" si="4"/>
        <v>0</v>
      </c>
      <c r="S80" s="12">
        <f t="shared" si="5"/>
        <v>0</v>
      </c>
    </row>
    <row r="81" spans="1:19" x14ac:dyDescent="0.25">
      <c r="A81" s="1">
        <v>7891058016999</v>
      </c>
      <c r="B81" s="1">
        <v>36381</v>
      </c>
      <c r="C81" t="s">
        <v>15</v>
      </c>
      <c r="D81" t="s">
        <v>16</v>
      </c>
      <c r="E81" t="s">
        <v>27</v>
      </c>
      <c r="F81">
        <v>1</v>
      </c>
      <c r="G81" s="6">
        <v>0.11</v>
      </c>
      <c r="H81" s="8">
        <v>39.31</v>
      </c>
      <c r="I81" s="9">
        <v>0.11</v>
      </c>
      <c r="J81" s="8">
        <v>0</v>
      </c>
      <c r="K81" s="8">
        <v>0</v>
      </c>
      <c r="L81" s="13">
        <v>0</v>
      </c>
      <c r="M81" s="8">
        <v>0</v>
      </c>
      <c r="N81" s="8">
        <v>0</v>
      </c>
      <c r="O81" s="8">
        <v>34.99</v>
      </c>
      <c r="P81" t="str">
        <f t="shared" si="3"/>
        <v>363810,11</v>
      </c>
      <c r="R81">
        <f t="shared" si="4"/>
        <v>0</v>
      </c>
      <c r="S81" s="12">
        <f t="shared" si="5"/>
        <v>0</v>
      </c>
    </row>
    <row r="82" spans="1:19" x14ac:dyDescent="0.25">
      <c r="A82" s="1">
        <v>7891058016999</v>
      </c>
      <c r="B82" s="1">
        <v>36381</v>
      </c>
      <c r="C82" t="s">
        <v>15</v>
      </c>
      <c r="D82" t="s">
        <v>16</v>
      </c>
      <c r="E82" t="s">
        <v>98</v>
      </c>
      <c r="F82" s="1">
        <v>6</v>
      </c>
      <c r="G82" s="6">
        <v>0.15</v>
      </c>
      <c r="H82" s="8">
        <v>39.31</v>
      </c>
      <c r="I82" s="9">
        <v>0.15</v>
      </c>
      <c r="J82" s="8">
        <v>0</v>
      </c>
      <c r="K82" s="8">
        <v>0</v>
      </c>
      <c r="L82" s="13">
        <v>0</v>
      </c>
      <c r="M82" s="8">
        <v>0</v>
      </c>
      <c r="N82" s="8">
        <v>0</v>
      </c>
      <c r="O82" s="8">
        <v>33.409999999999997</v>
      </c>
      <c r="P82" t="str">
        <f t="shared" si="3"/>
        <v>363810,15</v>
      </c>
      <c r="R82">
        <f t="shared" si="4"/>
        <v>0</v>
      </c>
      <c r="S82" s="12">
        <f t="shared" si="5"/>
        <v>0</v>
      </c>
    </row>
    <row r="83" spans="1:19" x14ac:dyDescent="0.25">
      <c r="A83" s="1">
        <v>7891058016999</v>
      </c>
      <c r="B83" s="1">
        <v>36381</v>
      </c>
      <c r="C83" t="s">
        <v>15</v>
      </c>
      <c r="D83" t="s">
        <v>16</v>
      </c>
      <c r="E83" t="s">
        <v>99</v>
      </c>
      <c r="F83" s="1">
        <v>14</v>
      </c>
      <c r="G83" s="6">
        <v>0.17</v>
      </c>
      <c r="H83" s="8">
        <v>39.31</v>
      </c>
      <c r="I83" s="9">
        <v>0.17</v>
      </c>
      <c r="J83" s="8">
        <v>0</v>
      </c>
      <c r="K83" s="8">
        <v>0</v>
      </c>
      <c r="L83" s="13">
        <v>0</v>
      </c>
      <c r="M83" s="8">
        <v>0</v>
      </c>
      <c r="N83" s="8">
        <v>0</v>
      </c>
      <c r="O83" s="8">
        <v>32.630000000000003</v>
      </c>
      <c r="P83" t="str">
        <f t="shared" si="3"/>
        <v>363810,17</v>
      </c>
      <c r="R83">
        <f t="shared" si="4"/>
        <v>36381</v>
      </c>
      <c r="S83" s="12">
        <f t="shared" si="5"/>
        <v>14</v>
      </c>
    </row>
    <row r="84" spans="1:19" x14ac:dyDescent="0.25">
      <c r="A84" s="4">
        <v>7891058017002</v>
      </c>
      <c r="B84" s="1">
        <v>46785</v>
      </c>
      <c r="C84" s="5">
        <f>VLOOKUP(A84,$A:$D,2,0)</f>
        <v>46785</v>
      </c>
      <c r="D84" s="5" t="s">
        <v>18</v>
      </c>
      <c r="E84" s="5" t="s">
        <v>14</v>
      </c>
      <c r="F84">
        <v>10</v>
      </c>
      <c r="G84" s="6">
        <v>0.26</v>
      </c>
      <c r="H84" s="8">
        <v>62.55</v>
      </c>
      <c r="I84" s="9">
        <v>0.26</v>
      </c>
      <c r="J84" s="8">
        <v>0</v>
      </c>
      <c r="K84" s="8">
        <v>0</v>
      </c>
      <c r="L84" s="13">
        <v>0</v>
      </c>
      <c r="M84" s="8">
        <v>0</v>
      </c>
      <c r="N84" s="8">
        <v>0</v>
      </c>
      <c r="O84" s="8">
        <v>46.29</v>
      </c>
      <c r="P84" t="str">
        <f t="shared" si="3"/>
        <v>467850,26</v>
      </c>
      <c r="R84">
        <f t="shared" si="4"/>
        <v>0</v>
      </c>
      <c r="S84" s="12">
        <f t="shared" si="5"/>
        <v>0</v>
      </c>
    </row>
    <row r="85" spans="1:19" x14ac:dyDescent="0.25">
      <c r="A85" s="4">
        <v>7891058017002</v>
      </c>
      <c r="B85" s="1">
        <v>46785</v>
      </c>
      <c r="C85" s="5" t="s">
        <v>15</v>
      </c>
      <c r="D85" s="5" t="s">
        <v>18</v>
      </c>
      <c r="E85" s="5" t="s">
        <v>17</v>
      </c>
      <c r="F85">
        <v>15</v>
      </c>
      <c r="G85" s="6">
        <v>0.3</v>
      </c>
      <c r="H85" s="8">
        <v>62.55</v>
      </c>
      <c r="I85" s="9">
        <v>0.3</v>
      </c>
      <c r="J85" s="8">
        <v>0</v>
      </c>
      <c r="K85" s="8">
        <v>0</v>
      </c>
      <c r="L85" s="13">
        <v>0</v>
      </c>
      <c r="M85" s="8">
        <v>0</v>
      </c>
      <c r="N85" s="8">
        <v>0</v>
      </c>
      <c r="O85" s="8">
        <v>43.79</v>
      </c>
      <c r="P85" t="str">
        <f t="shared" si="3"/>
        <v>467850,3</v>
      </c>
      <c r="R85">
        <f t="shared" si="4"/>
        <v>0</v>
      </c>
      <c r="S85" s="12">
        <f t="shared" si="5"/>
        <v>0</v>
      </c>
    </row>
    <row r="86" spans="1:19" x14ac:dyDescent="0.25">
      <c r="A86" s="1">
        <v>7891058017002</v>
      </c>
      <c r="B86" s="1">
        <v>46785</v>
      </c>
      <c r="C86" t="s">
        <v>15</v>
      </c>
      <c r="D86" t="s">
        <v>18</v>
      </c>
      <c r="E86" t="s">
        <v>27</v>
      </c>
      <c r="F86">
        <v>1</v>
      </c>
      <c r="G86" s="6">
        <v>0.11</v>
      </c>
      <c r="H86" s="8">
        <v>62.55</v>
      </c>
      <c r="I86" s="9">
        <v>0.11</v>
      </c>
      <c r="J86" s="8">
        <v>0</v>
      </c>
      <c r="K86" s="8">
        <v>0</v>
      </c>
      <c r="L86" s="13">
        <v>0</v>
      </c>
      <c r="M86" s="8">
        <v>0</v>
      </c>
      <c r="N86" s="8">
        <v>0</v>
      </c>
      <c r="O86" s="8">
        <v>55.67</v>
      </c>
      <c r="P86" t="str">
        <f t="shared" si="3"/>
        <v>467850,11</v>
      </c>
      <c r="R86">
        <f t="shared" si="4"/>
        <v>0</v>
      </c>
      <c r="S86" s="12">
        <f t="shared" si="5"/>
        <v>0</v>
      </c>
    </row>
    <row r="87" spans="1:19" x14ac:dyDescent="0.25">
      <c r="A87" s="1">
        <v>7891058017002</v>
      </c>
      <c r="B87" s="1">
        <v>46785</v>
      </c>
      <c r="C87" t="s">
        <v>15</v>
      </c>
      <c r="D87" t="s">
        <v>18</v>
      </c>
      <c r="E87" t="s">
        <v>98</v>
      </c>
      <c r="F87" s="1">
        <v>3</v>
      </c>
      <c r="G87" s="6">
        <v>0.15</v>
      </c>
      <c r="H87" s="8">
        <v>62.55</v>
      </c>
      <c r="I87" s="9">
        <v>0.15</v>
      </c>
      <c r="J87" s="8">
        <v>0</v>
      </c>
      <c r="K87" s="8">
        <v>0</v>
      </c>
      <c r="L87" s="13">
        <v>0</v>
      </c>
      <c r="M87" s="8">
        <v>0</v>
      </c>
      <c r="N87" s="8">
        <v>0</v>
      </c>
      <c r="O87" s="8">
        <v>53.17</v>
      </c>
      <c r="P87" t="str">
        <f t="shared" si="3"/>
        <v>467850,15</v>
      </c>
      <c r="R87">
        <f t="shared" si="4"/>
        <v>0</v>
      </c>
      <c r="S87" s="12">
        <f t="shared" si="5"/>
        <v>0</v>
      </c>
    </row>
    <row r="88" spans="1:19" x14ac:dyDescent="0.25">
      <c r="A88" s="1">
        <v>7891058017002</v>
      </c>
      <c r="B88" s="1">
        <v>46785</v>
      </c>
      <c r="C88" t="s">
        <v>15</v>
      </c>
      <c r="D88" t="s">
        <v>18</v>
      </c>
      <c r="E88" t="s">
        <v>99</v>
      </c>
      <c r="F88" s="1">
        <v>4</v>
      </c>
      <c r="G88" s="6">
        <v>0.17</v>
      </c>
      <c r="H88" s="8">
        <v>62.55</v>
      </c>
      <c r="I88" s="9">
        <v>0.17</v>
      </c>
      <c r="J88" s="8">
        <v>0</v>
      </c>
      <c r="K88" s="8">
        <v>0</v>
      </c>
      <c r="L88" s="13">
        <v>0</v>
      </c>
      <c r="M88" s="8">
        <v>0</v>
      </c>
      <c r="N88" s="8">
        <v>0</v>
      </c>
      <c r="O88" s="8">
        <v>51.92</v>
      </c>
      <c r="P88" t="str">
        <f t="shared" si="3"/>
        <v>467850,17</v>
      </c>
      <c r="R88">
        <f t="shared" si="4"/>
        <v>46785</v>
      </c>
      <c r="S88" s="12">
        <f t="shared" si="5"/>
        <v>4</v>
      </c>
    </row>
    <row r="89" spans="1:19" x14ac:dyDescent="0.25">
      <c r="A89" s="4">
        <v>7891058006501</v>
      </c>
      <c r="B89" s="1">
        <v>61315</v>
      </c>
      <c r="C89" s="5">
        <f>VLOOKUP(A89,$A:$D,2,0)</f>
        <v>61315</v>
      </c>
      <c r="D89" s="5" t="s">
        <v>19</v>
      </c>
      <c r="E89" s="5" t="s">
        <v>14</v>
      </c>
      <c r="F89">
        <v>10</v>
      </c>
      <c r="G89" s="6">
        <v>0.26</v>
      </c>
      <c r="H89" s="8">
        <v>29.71</v>
      </c>
      <c r="I89" s="9">
        <v>0.26</v>
      </c>
      <c r="J89" s="8">
        <v>0</v>
      </c>
      <c r="K89" s="8">
        <v>0</v>
      </c>
      <c r="L89" s="13">
        <v>0</v>
      </c>
      <c r="M89" s="8">
        <v>0</v>
      </c>
      <c r="N89" s="8">
        <v>0</v>
      </c>
      <c r="O89" s="8">
        <v>21.99</v>
      </c>
      <c r="P89" t="str">
        <f t="shared" si="3"/>
        <v>613150,26</v>
      </c>
      <c r="R89">
        <f t="shared" si="4"/>
        <v>0</v>
      </c>
      <c r="S89" s="12">
        <f t="shared" si="5"/>
        <v>0</v>
      </c>
    </row>
    <row r="90" spans="1:19" x14ac:dyDescent="0.25">
      <c r="A90" s="4">
        <v>7891058006501</v>
      </c>
      <c r="B90" s="1">
        <v>61315</v>
      </c>
      <c r="C90" s="5" t="s">
        <v>15</v>
      </c>
      <c r="D90" s="5" t="s">
        <v>19</v>
      </c>
      <c r="E90" s="5" t="s">
        <v>17</v>
      </c>
      <c r="F90">
        <v>15</v>
      </c>
      <c r="G90" s="6">
        <v>0.3</v>
      </c>
      <c r="H90" s="8">
        <v>29.71</v>
      </c>
      <c r="I90" s="9">
        <v>0.3</v>
      </c>
      <c r="J90" s="8">
        <v>0</v>
      </c>
      <c r="K90" s="8">
        <v>0</v>
      </c>
      <c r="L90" s="13">
        <v>0</v>
      </c>
      <c r="M90" s="8">
        <v>0</v>
      </c>
      <c r="N90" s="8">
        <v>0</v>
      </c>
      <c r="O90" s="8">
        <v>20.8</v>
      </c>
      <c r="P90" t="str">
        <f t="shared" si="3"/>
        <v>613150,3</v>
      </c>
      <c r="R90">
        <f t="shared" si="4"/>
        <v>0</v>
      </c>
      <c r="S90" s="12">
        <f t="shared" si="5"/>
        <v>0</v>
      </c>
    </row>
    <row r="91" spans="1:19" x14ac:dyDescent="0.25">
      <c r="A91" s="1">
        <v>7891058006501</v>
      </c>
      <c r="B91" s="1">
        <v>61315</v>
      </c>
      <c r="C91" t="s">
        <v>15</v>
      </c>
      <c r="D91" t="s">
        <v>19</v>
      </c>
      <c r="E91" t="s">
        <v>27</v>
      </c>
      <c r="F91" s="1">
        <v>1</v>
      </c>
      <c r="G91" s="6">
        <v>0.11</v>
      </c>
      <c r="H91" s="8">
        <v>29.71</v>
      </c>
      <c r="I91" s="9">
        <v>0.11</v>
      </c>
      <c r="J91" s="8">
        <v>0</v>
      </c>
      <c r="K91" s="8">
        <v>0</v>
      </c>
      <c r="L91" s="13">
        <v>0</v>
      </c>
      <c r="M91" s="8">
        <v>0</v>
      </c>
      <c r="N91" s="8">
        <v>0</v>
      </c>
      <c r="O91" s="8">
        <v>26.44</v>
      </c>
      <c r="P91" t="str">
        <f t="shared" si="3"/>
        <v>613150,11</v>
      </c>
      <c r="R91">
        <f t="shared" si="4"/>
        <v>0</v>
      </c>
      <c r="S91" s="12">
        <f t="shared" si="5"/>
        <v>0</v>
      </c>
    </row>
    <row r="92" spans="1:19" x14ac:dyDescent="0.25">
      <c r="A92" s="1">
        <v>7891058006501</v>
      </c>
      <c r="B92" s="1">
        <v>61315</v>
      </c>
      <c r="C92" t="s">
        <v>15</v>
      </c>
      <c r="D92" t="s">
        <v>19</v>
      </c>
      <c r="E92" t="s">
        <v>98</v>
      </c>
      <c r="F92" s="1">
        <v>3</v>
      </c>
      <c r="G92" s="6">
        <v>0.15</v>
      </c>
      <c r="H92" s="8">
        <v>29.71</v>
      </c>
      <c r="I92" s="9">
        <v>0.15</v>
      </c>
      <c r="J92" s="8">
        <v>0</v>
      </c>
      <c r="K92" s="8">
        <v>0</v>
      </c>
      <c r="L92" s="13">
        <v>0</v>
      </c>
      <c r="M92" s="8">
        <v>0</v>
      </c>
      <c r="N92" s="8">
        <v>0</v>
      </c>
      <c r="O92" s="8">
        <v>25.25</v>
      </c>
      <c r="P92" t="str">
        <f t="shared" si="3"/>
        <v>613150,15</v>
      </c>
      <c r="R92">
        <f t="shared" si="4"/>
        <v>0</v>
      </c>
      <c r="S92" s="12">
        <f t="shared" si="5"/>
        <v>0</v>
      </c>
    </row>
    <row r="93" spans="1:19" x14ac:dyDescent="0.25">
      <c r="A93" s="1">
        <v>7891058006501</v>
      </c>
      <c r="B93" s="1">
        <v>61315</v>
      </c>
      <c r="C93" t="s">
        <v>15</v>
      </c>
      <c r="D93" t="s">
        <v>19</v>
      </c>
      <c r="E93" t="s">
        <v>99</v>
      </c>
      <c r="F93" s="1">
        <v>4</v>
      </c>
      <c r="G93" s="6">
        <v>0.17</v>
      </c>
      <c r="H93" s="8">
        <v>29.71</v>
      </c>
      <c r="I93" s="9">
        <v>0.17</v>
      </c>
      <c r="J93" s="8">
        <v>0</v>
      </c>
      <c r="K93" s="8">
        <v>0</v>
      </c>
      <c r="L93" s="13">
        <v>0</v>
      </c>
      <c r="M93" s="8">
        <v>0</v>
      </c>
      <c r="N93" s="8">
        <v>0</v>
      </c>
      <c r="O93" s="8">
        <v>24.66</v>
      </c>
      <c r="P93" t="str">
        <f t="shared" si="3"/>
        <v>613150,17</v>
      </c>
      <c r="R93">
        <f t="shared" si="4"/>
        <v>61315</v>
      </c>
      <c r="S93" s="12">
        <f t="shared" si="5"/>
        <v>4</v>
      </c>
    </row>
    <row r="94" spans="1:19" x14ac:dyDescent="0.25">
      <c r="A94" s="4">
        <v>7891058022594</v>
      </c>
      <c r="B94" s="1">
        <v>55156</v>
      </c>
      <c r="C94" s="5">
        <f>VLOOKUP(A94,$A:$D,2,0)</f>
        <v>55156</v>
      </c>
      <c r="D94" s="5" t="s">
        <v>20</v>
      </c>
      <c r="E94" s="5" t="s">
        <v>14</v>
      </c>
      <c r="F94">
        <v>10</v>
      </c>
      <c r="G94" s="6">
        <v>0.26</v>
      </c>
      <c r="H94" s="8">
        <v>63.59</v>
      </c>
      <c r="I94" s="9">
        <v>0.26</v>
      </c>
      <c r="J94" s="8">
        <v>0</v>
      </c>
      <c r="K94" s="8">
        <v>0</v>
      </c>
      <c r="L94" s="13">
        <v>0</v>
      </c>
      <c r="M94" s="8">
        <v>0</v>
      </c>
      <c r="N94" s="8">
        <v>0</v>
      </c>
      <c r="O94" s="8">
        <v>47.06</v>
      </c>
      <c r="P94" t="str">
        <f t="shared" si="3"/>
        <v>551560,26</v>
      </c>
      <c r="R94">
        <f t="shared" si="4"/>
        <v>0</v>
      </c>
      <c r="S94" s="12">
        <f t="shared" si="5"/>
        <v>0</v>
      </c>
    </row>
    <row r="95" spans="1:19" x14ac:dyDescent="0.25">
      <c r="A95" s="4">
        <v>7891058022594</v>
      </c>
      <c r="B95" s="1">
        <v>55156</v>
      </c>
      <c r="C95" s="5" t="s">
        <v>15</v>
      </c>
      <c r="D95" s="5" t="s">
        <v>20</v>
      </c>
      <c r="E95" s="5" t="s">
        <v>17</v>
      </c>
      <c r="F95">
        <v>15</v>
      </c>
      <c r="G95" s="6">
        <v>0.3</v>
      </c>
      <c r="H95" s="8">
        <v>63.59</v>
      </c>
      <c r="I95" s="9">
        <v>0.3</v>
      </c>
      <c r="J95" s="8">
        <v>0</v>
      </c>
      <c r="K95" s="8">
        <v>0</v>
      </c>
      <c r="L95" s="13">
        <v>0</v>
      </c>
      <c r="M95" s="8">
        <v>0</v>
      </c>
      <c r="N95" s="8">
        <v>0</v>
      </c>
      <c r="O95" s="8">
        <v>44.51</v>
      </c>
      <c r="P95" t="str">
        <f t="shared" si="3"/>
        <v>551560,3</v>
      </c>
      <c r="R95">
        <f t="shared" si="4"/>
        <v>0</v>
      </c>
      <c r="S95" s="12">
        <f t="shared" si="5"/>
        <v>0</v>
      </c>
    </row>
    <row r="96" spans="1:19" x14ac:dyDescent="0.25">
      <c r="A96" s="1">
        <v>7891058022594</v>
      </c>
      <c r="B96" s="1">
        <v>55156</v>
      </c>
      <c r="C96" t="s">
        <v>15</v>
      </c>
      <c r="D96" t="s">
        <v>20</v>
      </c>
      <c r="E96" t="s">
        <v>27</v>
      </c>
      <c r="F96" s="1">
        <v>1</v>
      </c>
      <c r="G96" s="6">
        <v>0.11</v>
      </c>
      <c r="H96" s="8">
        <v>63.59</v>
      </c>
      <c r="I96" s="9">
        <v>0.11</v>
      </c>
      <c r="J96" s="8">
        <v>0</v>
      </c>
      <c r="K96" s="8">
        <v>0</v>
      </c>
      <c r="L96" s="13">
        <v>0</v>
      </c>
      <c r="M96" s="8">
        <v>0</v>
      </c>
      <c r="N96" s="8">
        <v>0</v>
      </c>
      <c r="O96" s="8">
        <v>56.6</v>
      </c>
      <c r="P96" t="str">
        <f t="shared" si="3"/>
        <v>551560,11</v>
      </c>
      <c r="R96">
        <f t="shared" si="4"/>
        <v>0</v>
      </c>
      <c r="S96" s="12">
        <f t="shared" si="5"/>
        <v>0</v>
      </c>
    </row>
    <row r="97" spans="1:19" x14ac:dyDescent="0.25">
      <c r="A97" s="1">
        <v>7891058022594</v>
      </c>
      <c r="B97" s="1">
        <v>55156</v>
      </c>
      <c r="C97" t="s">
        <v>15</v>
      </c>
      <c r="D97" t="s">
        <v>20</v>
      </c>
      <c r="E97" t="s">
        <v>98</v>
      </c>
      <c r="F97" s="1">
        <v>3</v>
      </c>
      <c r="G97" s="6">
        <v>0.15</v>
      </c>
      <c r="H97" s="8">
        <v>63.59</v>
      </c>
      <c r="I97" s="9">
        <v>0.15</v>
      </c>
      <c r="J97" s="8">
        <v>0</v>
      </c>
      <c r="K97" s="8">
        <v>0</v>
      </c>
      <c r="L97" s="13">
        <v>0</v>
      </c>
      <c r="M97" s="8">
        <v>0</v>
      </c>
      <c r="N97" s="8">
        <v>0</v>
      </c>
      <c r="O97" s="8">
        <v>54.05</v>
      </c>
      <c r="P97" t="str">
        <f t="shared" si="3"/>
        <v>551560,15</v>
      </c>
      <c r="R97">
        <f t="shared" si="4"/>
        <v>0</v>
      </c>
      <c r="S97" s="12">
        <f t="shared" si="5"/>
        <v>0</v>
      </c>
    </row>
    <row r="98" spans="1:19" x14ac:dyDescent="0.25">
      <c r="A98" s="1">
        <v>7891058022594</v>
      </c>
      <c r="B98" s="1">
        <v>55156</v>
      </c>
      <c r="C98" t="s">
        <v>15</v>
      </c>
      <c r="D98" t="s">
        <v>20</v>
      </c>
      <c r="E98" t="s">
        <v>99</v>
      </c>
      <c r="F98" s="1">
        <v>4</v>
      </c>
      <c r="G98" s="6">
        <v>0.17</v>
      </c>
      <c r="H98" s="8">
        <v>63.59</v>
      </c>
      <c r="I98" s="9">
        <v>0.17</v>
      </c>
      <c r="J98" s="8">
        <v>0</v>
      </c>
      <c r="K98" s="8">
        <v>0</v>
      </c>
      <c r="L98" s="13">
        <v>0</v>
      </c>
      <c r="M98" s="8">
        <v>0</v>
      </c>
      <c r="N98" s="8">
        <v>0</v>
      </c>
      <c r="O98" s="8">
        <v>52.78</v>
      </c>
      <c r="P98" t="str">
        <f t="shared" si="3"/>
        <v>551560,17</v>
      </c>
      <c r="R98">
        <f t="shared" si="4"/>
        <v>55156</v>
      </c>
      <c r="S98" s="12">
        <f t="shared" si="5"/>
        <v>4</v>
      </c>
    </row>
    <row r="99" spans="1:19" x14ac:dyDescent="0.25">
      <c r="A99" s="4">
        <v>7891058020286</v>
      </c>
      <c r="B99" s="1">
        <v>41036</v>
      </c>
      <c r="C99" s="5">
        <f>VLOOKUP(A99,$A:$D,2,0)</f>
        <v>41036</v>
      </c>
      <c r="D99" s="5" t="s">
        <v>21</v>
      </c>
      <c r="E99" s="5" t="s">
        <v>14</v>
      </c>
      <c r="F99">
        <v>18</v>
      </c>
      <c r="G99" s="6">
        <v>0.26</v>
      </c>
      <c r="H99" s="8">
        <v>39.729999999999997</v>
      </c>
      <c r="I99" s="9">
        <v>0.26</v>
      </c>
      <c r="J99" s="8">
        <v>0</v>
      </c>
      <c r="K99" s="8">
        <v>0</v>
      </c>
      <c r="L99" s="13">
        <v>0</v>
      </c>
      <c r="M99" s="8">
        <v>0</v>
      </c>
      <c r="N99" s="8">
        <v>0</v>
      </c>
      <c r="O99" s="8">
        <v>29.4</v>
      </c>
      <c r="P99" t="str">
        <f t="shared" si="3"/>
        <v>410360,26</v>
      </c>
      <c r="R99">
        <f t="shared" si="4"/>
        <v>0</v>
      </c>
      <c r="S99" s="12">
        <f t="shared" si="5"/>
        <v>0</v>
      </c>
    </row>
    <row r="100" spans="1:19" x14ac:dyDescent="0.25">
      <c r="A100" s="4">
        <v>7891058020286</v>
      </c>
      <c r="B100" s="1">
        <v>41036</v>
      </c>
      <c r="C100" s="5" t="s">
        <v>15</v>
      </c>
      <c r="D100" s="5" t="s">
        <v>21</v>
      </c>
      <c r="E100" s="5" t="s">
        <v>17</v>
      </c>
      <c r="F100">
        <v>30</v>
      </c>
      <c r="G100" s="6">
        <v>0.3</v>
      </c>
      <c r="H100" s="8">
        <v>39.729999999999997</v>
      </c>
      <c r="I100" s="9">
        <v>0.3</v>
      </c>
      <c r="J100" s="8">
        <v>0</v>
      </c>
      <c r="K100" s="8">
        <v>0</v>
      </c>
      <c r="L100" s="13">
        <v>0</v>
      </c>
      <c r="M100" s="8">
        <v>0</v>
      </c>
      <c r="N100" s="8">
        <v>0</v>
      </c>
      <c r="O100" s="8">
        <v>27.81</v>
      </c>
      <c r="P100" t="str">
        <f t="shared" si="3"/>
        <v>410360,3</v>
      </c>
      <c r="R100">
        <f t="shared" si="4"/>
        <v>0</v>
      </c>
      <c r="S100" s="12">
        <f t="shared" si="5"/>
        <v>0</v>
      </c>
    </row>
    <row r="101" spans="1:19" x14ac:dyDescent="0.25">
      <c r="A101" s="1">
        <v>7891058020286</v>
      </c>
      <c r="B101" s="1">
        <v>41036</v>
      </c>
      <c r="C101" t="s">
        <v>15</v>
      </c>
      <c r="D101" t="s">
        <v>21</v>
      </c>
      <c r="E101" t="s">
        <v>27</v>
      </c>
      <c r="F101">
        <v>1</v>
      </c>
      <c r="G101" s="6">
        <v>0.11</v>
      </c>
      <c r="H101" s="8">
        <v>39.729999999999997</v>
      </c>
      <c r="I101" s="9">
        <v>0.11</v>
      </c>
      <c r="J101" s="8">
        <v>0</v>
      </c>
      <c r="K101" s="8">
        <v>0</v>
      </c>
      <c r="L101" s="13">
        <v>0</v>
      </c>
      <c r="M101" s="8">
        <v>0</v>
      </c>
      <c r="N101" s="8">
        <v>0</v>
      </c>
      <c r="O101" s="8">
        <v>35.36</v>
      </c>
      <c r="P101" t="str">
        <f t="shared" si="3"/>
        <v>410360,11</v>
      </c>
      <c r="R101">
        <f t="shared" si="4"/>
        <v>0</v>
      </c>
      <c r="S101" s="12">
        <f t="shared" si="5"/>
        <v>0</v>
      </c>
    </row>
    <row r="102" spans="1:19" x14ac:dyDescent="0.25">
      <c r="A102" s="1">
        <v>7891058020286</v>
      </c>
      <c r="B102" s="1">
        <v>41036</v>
      </c>
      <c r="C102" t="s">
        <v>15</v>
      </c>
      <c r="D102" t="s">
        <v>21</v>
      </c>
      <c r="E102" t="s">
        <v>98</v>
      </c>
      <c r="F102" s="1">
        <v>5</v>
      </c>
      <c r="G102" s="6">
        <v>0.15</v>
      </c>
      <c r="H102" s="8">
        <v>39.729999999999997</v>
      </c>
      <c r="I102" s="9">
        <v>0.15</v>
      </c>
      <c r="J102" s="8">
        <v>0</v>
      </c>
      <c r="K102" s="8">
        <v>0</v>
      </c>
      <c r="L102" s="13">
        <v>0</v>
      </c>
      <c r="M102" s="8">
        <v>0</v>
      </c>
      <c r="N102" s="8">
        <v>0</v>
      </c>
      <c r="O102" s="8">
        <v>33.770000000000003</v>
      </c>
      <c r="P102" t="str">
        <f t="shared" si="3"/>
        <v>410360,15</v>
      </c>
      <c r="R102">
        <f t="shared" si="4"/>
        <v>0</v>
      </c>
      <c r="S102" s="12">
        <f t="shared" si="5"/>
        <v>0</v>
      </c>
    </row>
    <row r="103" spans="1:19" x14ac:dyDescent="0.25">
      <c r="A103" s="1">
        <v>7891058020286</v>
      </c>
      <c r="B103" s="1">
        <v>41036</v>
      </c>
      <c r="C103" t="s">
        <v>15</v>
      </c>
      <c r="D103" t="s">
        <v>21</v>
      </c>
      <c r="E103" t="s">
        <v>99</v>
      </c>
      <c r="F103" s="1">
        <v>10</v>
      </c>
      <c r="G103" s="6">
        <v>0.17</v>
      </c>
      <c r="H103" s="8">
        <v>39.729999999999997</v>
      </c>
      <c r="I103" s="9">
        <v>0.17</v>
      </c>
      <c r="J103" s="8">
        <v>0</v>
      </c>
      <c r="K103" s="8">
        <v>0</v>
      </c>
      <c r="L103" s="13">
        <v>0</v>
      </c>
      <c r="M103" s="8">
        <v>0</v>
      </c>
      <c r="N103" s="8">
        <v>0</v>
      </c>
      <c r="O103" s="8">
        <v>32.979999999999997</v>
      </c>
      <c r="P103" t="str">
        <f t="shared" si="3"/>
        <v>410360,17</v>
      </c>
      <c r="R103">
        <f t="shared" si="4"/>
        <v>41036</v>
      </c>
      <c r="S103" s="12">
        <f t="shared" si="5"/>
        <v>10</v>
      </c>
    </row>
    <row r="104" spans="1:19" x14ac:dyDescent="0.25">
      <c r="A104" s="1">
        <v>7896070600447</v>
      </c>
      <c r="B104" s="1">
        <v>373</v>
      </c>
      <c r="C104" t="s">
        <v>48</v>
      </c>
      <c r="D104" t="s">
        <v>91</v>
      </c>
      <c r="E104" t="s">
        <v>27</v>
      </c>
      <c r="F104">
        <v>1</v>
      </c>
      <c r="G104" s="6">
        <v>7.0000000000000007E-2</v>
      </c>
      <c r="H104" s="8">
        <v>15.17</v>
      </c>
      <c r="I104" s="9">
        <v>7.0000000000000007E-2</v>
      </c>
      <c r="J104" s="8">
        <v>20.350000000000001</v>
      </c>
      <c r="K104" s="8">
        <v>1.202172</v>
      </c>
      <c r="L104" s="13">
        <v>8.5199999999999998E-2</v>
      </c>
      <c r="M104" s="8">
        <v>18.09</v>
      </c>
      <c r="N104" s="8">
        <v>1.98</v>
      </c>
      <c r="O104" s="8">
        <v>14.887828000000001</v>
      </c>
      <c r="P104" t="str">
        <f t="shared" si="3"/>
        <v>3730,07</v>
      </c>
      <c r="R104">
        <f t="shared" si="4"/>
        <v>0</v>
      </c>
      <c r="S104" s="12">
        <f t="shared" si="5"/>
        <v>0</v>
      </c>
    </row>
    <row r="105" spans="1:19" x14ac:dyDescent="0.25">
      <c r="A105" s="1">
        <v>7896070600447</v>
      </c>
      <c r="B105" s="1">
        <v>373</v>
      </c>
      <c r="C105" t="s">
        <v>48</v>
      </c>
      <c r="D105" t="s">
        <v>91</v>
      </c>
      <c r="E105" t="s">
        <v>98</v>
      </c>
      <c r="F105">
        <v>3</v>
      </c>
      <c r="G105" s="6">
        <v>0.09</v>
      </c>
      <c r="H105" s="8">
        <v>15.17</v>
      </c>
      <c r="I105" s="9">
        <v>0.09</v>
      </c>
      <c r="J105" s="8">
        <v>20.350000000000001</v>
      </c>
      <c r="K105" s="8">
        <v>1.1757599999999999</v>
      </c>
      <c r="L105" s="13">
        <v>8.5199999999999998E-2</v>
      </c>
      <c r="M105" s="8">
        <v>18.09</v>
      </c>
      <c r="N105" s="8">
        <v>2.02</v>
      </c>
      <c r="O105" s="8">
        <v>14.64424</v>
      </c>
      <c r="P105" t="str">
        <f t="shared" si="3"/>
        <v>3730,09</v>
      </c>
      <c r="R105">
        <f t="shared" si="4"/>
        <v>0</v>
      </c>
      <c r="S105" s="12">
        <f t="shared" si="5"/>
        <v>0</v>
      </c>
    </row>
    <row r="106" spans="1:19" x14ac:dyDescent="0.25">
      <c r="A106" s="1">
        <v>7896070600447</v>
      </c>
      <c r="B106" s="1">
        <v>373</v>
      </c>
      <c r="C106" t="s">
        <v>48</v>
      </c>
      <c r="D106" t="s">
        <v>91</v>
      </c>
      <c r="E106" t="s">
        <v>99</v>
      </c>
      <c r="F106">
        <v>6</v>
      </c>
      <c r="G106" s="6">
        <v>0.11</v>
      </c>
      <c r="H106" s="8">
        <v>15.17</v>
      </c>
      <c r="I106" s="9">
        <v>0.11</v>
      </c>
      <c r="J106" s="8">
        <v>20.350000000000001</v>
      </c>
      <c r="K106" s="8">
        <v>1.1501999999999999</v>
      </c>
      <c r="L106" s="13">
        <v>8.5199999999999998E-2</v>
      </c>
      <c r="M106" s="8">
        <v>18.09</v>
      </c>
      <c r="N106" s="8">
        <v>2.0499999999999998</v>
      </c>
      <c r="O106" s="8">
        <v>14.399800000000001</v>
      </c>
      <c r="P106" t="str">
        <f t="shared" si="3"/>
        <v>3730,11</v>
      </c>
      <c r="R106">
        <f t="shared" si="4"/>
        <v>373</v>
      </c>
      <c r="S106" s="12">
        <f t="shared" si="5"/>
        <v>6</v>
      </c>
    </row>
    <row r="107" spans="1:19" x14ac:dyDescent="0.25">
      <c r="A107" s="1">
        <v>7891058021689</v>
      </c>
      <c r="B107" s="1">
        <v>43102</v>
      </c>
      <c r="C107" t="s">
        <v>60</v>
      </c>
      <c r="D107" t="s">
        <v>61</v>
      </c>
      <c r="E107" t="s">
        <v>27</v>
      </c>
      <c r="F107">
        <v>1</v>
      </c>
      <c r="G107" s="6">
        <v>0.09</v>
      </c>
      <c r="H107" s="8">
        <v>35.85</v>
      </c>
      <c r="I107" s="9">
        <v>0.09</v>
      </c>
      <c r="J107" s="8">
        <v>48.09</v>
      </c>
      <c r="K107" s="8">
        <v>2.7792240000000001</v>
      </c>
      <c r="L107" s="13">
        <v>8.5199999999999998E-2</v>
      </c>
      <c r="M107" s="8">
        <v>38.299999999999997</v>
      </c>
      <c r="N107" s="8">
        <v>3.89</v>
      </c>
      <c r="O107" s="8">
        <v>33.730775999999999</v>
      </c>
      <c r="P107" t="str">
        <f t="shared" si="3"/>
        <v>431020,09</v>
      </c>
      <c r="R107">
        <f t="shared" si="4"/>
        <v>0</v>
      </c>
      <c r="S107" s="12">
        <f t="shared" si="5"/>
        <v>0</v>
      </c>
    </row>
    <row r="108" spans="1:19" x14ac:dyDescent="0.25">
      <c r="A108" s="1">
        <v>7891058003968</v>
      </c>
      <c r="B108" s="1">
        <v>0</v>
      </c>
      <c r="C108" t="s">
        <v>62</v>
      </c>
      <c r="D108" t="s">
        <v>63</v>
      </c>
      <c r="E108" t="s">
        <v>27</v>
      </c>
      <c r="F108">
        <v>1</v>
      </c>
      <c r="G108" s="6">
        <v>0.28000000000000003</v>
      </c>
      <c r="H108" s="8">
        <v>191.36</v>
      </c>
      <c r="I108" s="9">
        <v>0.28000000000000003</v>
      </c>
      <c r="J108" s="8">
        <v>0</v>
      </c>
      <c r="K108" s="8">
        <v>0</v>
      </c>
      <c r="L108" s="13">
        <v>0</v>
      </c>
      <c r="M108" s="8">
        <v>0</v>
      </c>
      <c r="N108" s="8">
        <v>0</v>
      </c>
      <c r="O108" s="8">
        <v>137.78</v>
      </c>
      <c r="P108" t="str">
        <f t="shared" si="3"/>
        <v>00,28</v>
      </c>
      <c r="R108">
        <f t="shared" si="4"/>
        <v>0</v>
      </c>
      <c r="S108" s="12">
        <f t="shared" si="5"/>
        <v>0</v>
      </c>
    </row>
    <row r="109" spans="1:19" x14ac:dyDescent="0.25">
      <c r="A109" s="1">
        <v>7891058002343</v>
      </c>
      <c r="B109" s="1">
        <v>6647</v>
      </c>
      <c r="C109" t="s">
        <v>62</v>
      </c>
      <c r="D109" t="s">
        <v>92</v>
      </c>
      <c r="E109" t="s">
        <v>27</v>
      </c>
      <c r="F109">
        <v>1</v>
      </c>
      <c r="G109" s="6">
        <v>0.09</v>
      </c>
      <c r="H109" s="8">
        <v>101.65</v>
      </c>
      <c r="I109" s="9">
        <v>0.09</v>
      </c>
      <c r="J109" s="8">
        <v>0</v>
      </c>
      <c r="K109" s="8">
        <v>0</v>
      </c>
      <c r="L109" s="13">
        <v>0</v>
      </c>
      <c r="M109" s="8">
        <v>0</v>
      </c>
      <c r="N109" s="8">
        <v>0</v>
      </c>
      <c r="O109" s="8">
        <v>92.5</v>
      </c>
      <c r="P109" t="str">
        <f t="shared" si="3"/>
        <v>66470,09</v>
      </c>
      <c r="R109">
        <f t="shared" si="4"/>
        <v>0</v>
      </c>
      <c r="S109" s="12">
        <f t="shared" si="5"/>
        <v>0</v>
      </c>
    </row>
    <row r="110" spans="1:19" x14ac:dyDescent="0.25">
      <c r="A110" s="1">
        <v>7891058002336</v>
      </c>
      <c r="B110" s="1">
        <v>56395</v>
      </c>
      <c r="C110" t="s">
        <v>62</v>
      </c>
      <c r="D110" t="s">
        <v>64</v>
      </c>
      <c r="E110" t="s">
        <v>27</v>
      </c>
      <c r="F110">
        <v>1</v>
      </c>
      <c r="G110" s="6">
        <v>0.09</v>
      </c>
      <c r="H110" s="8">
        <v>107.38</v>
      </c>
      <c r="I110" s="9">
        <v>0.09</v>
      </c>
      <c r="J110" s="8">
        <v>0</v>
      </c>
      <c r="K110" s="8">
        <v>0</v>
      </c>
      <c r="L110" s="13">
        <v>0</v>
      </c>
      <c r="M110" s="8">
        <v>0</v>
      </c>
      <c r="N110" s="8">
        <v>0</v>
      </c>
      <c r="O110" s="8">
        <v>97.72</v>
      </c>
      <c r="P110" t="str">
        <f t="shared" si="3"/>
        <v>563950,09</v>
      </c>
      <c r="R110">
        <f t="shared" si="4"/>
        <v>0</v>
      </c>
      <c r="S110" s="12">
        <f t="shared" si="5"/>
        <v>0</v>
      </c>
    </row>
    <row r="111" spans="1:19" x14ac:dyDescent="0.25">
      <c r="A111" s="1">
        <v>7891058022730</v>
      </c>
      <c r="B111" s="1">
        <v>48764</v>
      </c>
      <c r="C111" t="s">
        <v>62</v>
      </c>
      <c r="D111" t="s">
        <v>65</v>
      </c>
      <c r="E111" t="s">
        <v>27</v>
      </c>
      <c r="F111">
        <v>1</v>
      </c>
      <c r="G111" s="6">
        <v>0.09</v>
      </c>
      <c r="H111" s="8">
        <v>132.27000000000001</v>
      </c>
      <c r="I111" s="9">
        <v>0.09</v>
      </c>
      <c r="J111" s="8">
        <v>0</v>
      </c>
      <c r="K111" s="8">
        <v>0</v>
      </c>
      <c r="L111" s="13">
        <v>0</v>
      </c>
      <c r="M111" s="8">
        <v>0</v>
      </c>
      <c r="N111" s="8">
        <v>0</v>
      </c>
      <c r="O111" s="8">
        <v>120.37</v>
      </c>
      <c r="P111" t="str">
        <f t="shared" si="3"/>
        <v>487640,09</v>
      </c>
      <c r="R111">
        <f t="shared" si="4"/>
        <v>0</v>
      </c>
      <c r="S111" s="12">
        <f t="shared" si="5"/>
        <v>0</v>
      </c>
    </row>
    <row r="112" spans="1:19" x14ac:dyDescent="0.25">
      <c r="A112" s="1">
        <v>7891058021566</v>
      </c>
      <c r="B112" s="1">
        <v>1958</v>
      </c>
      <c r="C112" t="s">
        <v>66</v>
      </c>
      <c r="D112" t="s">
        <v>67</v>
      </c>
      <c r="E112" t="s">
        <v>27</v>
      </c>
      <c r="F112">
        <v>1</v>
      </c>
      <c r="G112" s="6">
        <v>0.15</v>
      </c>
      <c r="H112" s="8">
        <v>49.6</v>
      </c>
      <c r="I112" s="9">
        <v>0.15</v>
      </c>
      <c r="J112" s="8">
        <v>66.540000000000006</v>
      </c>
      <c r="K112" s="8">
        <v>3.5920320000000001</v>
      </c>
      <c r="L112" s="13">
        <v>8.5199999999999998E-2</v>
      </c>
      <c r="M112" s="8">
        <v>54.46</v>
      </c>
      <c r="N112" s="8">
        <v>5.99</v>
      </c>
      <c r="O112" s="8">
        <v>44.557968000000002</v>
      </c>
      <c r="P112" t="str">
        <f t="shared" si="3"/>
        <v>19580,15</v>
      </c>
      <c r="R112">
        <f t="shared" si="4"/>
        <v>0</v>
      </c>
      <c r="S112" s="12">
        <f t="shared" si="5"/>
        <v>0</v>
      </c>
    </row>
    <row r="113" spans="1:19" x14ac:dyDescent="0.25">
      <c r="A113" s="1">
        <v>7891058021573</v>
      </c>
      <c r="B113" s="1">
        <v>0</v>
      </c>
      <c r="C113" t="s">
        <v>66</v>
      </c>
      <c r="D113" t="s">
        <v>68</v>
      </c>
      <c r="E113" t="s">
        <v>27</v>
      </c>
      <c r="F113">
        <v>1</v>
      </c>
      <c r="G113" s="6">
        <v>0.15</v>
      </c>
      <c r="H113" s="8">
        <v>35.71</v>
      </c>
      <c r="I113" s="9">
        <v>0.15</v>
      </c>
      <c r="J113" s="8">
        <v>47.9</v>
      </c>
      <c r="K113" s="8">
        <v>2.58582</v>
      </c>
      <c r="L113" s="13">
        <v>8.5199999999999998E-2</v>
      </c>
      <c r="M113" s="8">
        <v>42.15</v>
      </c>
      <c r="N113" s="8">
        <v>4.8899999999999997</v>
      </c>
      <c r="O113" s="8">
        <v>32.654179999999997</v>
      </c>
      <c r="P113" t="str">
        <f t="shared" si="3"/>
        <v>00,15</v>
      </c>
      <c r="R113">
        <f t="shared" si="4"/>
        <v>0</v>
      </c>
      <c r="S113" s="12">
        <f t="shared" si="5"/>
        <v>0</v>
      </c>
    </row>
    <row r="114" spans="1:19" x14ac:dyDescent="0.25">
      <c r="A114" s="4">
        <v>7891058001155</v>
      </c>
      <c r="B114" s="1">
        <v>20513</v>
      </c>
      <c r="C114" s="5">
        <f>VLOOKUP(A114,$A:$D,2,0)</f>
        <v>20513</v>
      </c>
      <c r="D114" s="5" t="s">
        <v>23</v>
      </c>
      <c r="E114" s="5" t="s">
        <v>14</v>
      </c>
      <c r="F114">
        <v>24</v>
      </c>
      <c r="G114" s="6">
        <v>0.19</v>
      </c>
      <c r="H114" s="8">
        <v>19.55</v>
      </c>
      <c r="I114" s="9">
        <v>0.19</v>
      </c>
      <c r="J114" s="8">
        <v>26.23</v>
      </c>
      <c r="K114" s="8">
        <v>1.3495680000000001</v>
      </c>
      <c r="L114" s="13">
        <v>8.5199999999999998E-2</v>
      </c>
      <c r="M114" s="8">
        <v>22.27</v>
      </c>
      <c r="N114" s="8">
        <v>2.6</v>
      </c>
      <c r="O114" s="8">
        <v>17.090432</v>
      </c>
      <c r="P114" t="str">
        <f t="shared" si="3"/>
        <v>205130,19</v>
      </c>
      <c r="R114">
        <f t="shared" si="4"/>
        <v>0</v>
      </c>
      <c r="S114" s="12">
        <f t="shared" si="5"/>
        <v>0</v>
      </c>
    </row>
    <row r="115" spans="1:19" x14ac:dyDescent="0.25">
      <c r="A115" s="4">
        <v>7891058001155</v>
      </c>
      <c r="B115" s="1">
        <v>20513</v>
      </c>
      <c r="C115" s="5" t="s">
        <v>22</v>
      </c>
      <c r="D115" s="5" t="s">
        <v>23</v>
      </c>
      <c r="E115" s="5" t="s">
        <v>17</v>
      </c>
      <c r="F115">
        <v>40</v>
      </c>
      <c r="G115" s="6">
        <v>0.23</v>
      </c>
      <c r="H115" s="8">
        <v>19.55</v>
      </c>
      <c r="I115" s="9">
        <v>0.23</v>
      </c>
      <c r="J115" s="8">
        <v>26.23</v>
      </c>
      <c r="K115" s="8">
        <v>1.28226</v>
      </c>
      <c r="L115" s="13">
        <v>8.5199999999999998E-2</v>
      </c>
      <c r="M115" s="8">
        <v>22.27</v>
      </c>
      <c r="N115" s="8">
        <v>2.69</v>
      </c>
      <c r="O115" s="8">
        <v>16.457740000000001</v>
      </c>
      <c r="P115" t="str">
        <f t="shared" si="3"/>
        <v>205130,23</v>
      </c>
      <c r="R115">
        <f t="shared" si="4"/>
        <v>0</v>
      </c>
      <c r="S115" s="12">
        <f t="shared" si="5"/>
        <v>0</v>
      </c>
    </row>
    <row r="116" spans="1:19" x14ac:dyDescent="0.25">
      <c r="A116" s="1">
        <v>7891058001155</v>
      </c>
      <c r="B116" s="1">
        <v>20513</v>
      </c>
      <c r="C116" t="s">
        <v>22</v>
      </c>
      <c r="D116" t="s">
        <v>23</v>
      </c>
      <c r="E116" t="s">
        <v>27</v>
      </c>
      <c r="F116" s="1">
        <v>1</v>
      </c>
      <c r="G116" s="6">
        <v>0.08</v>
      </c>
      <c r="H116" s="8">
        <v>19.55</v>
      </c>
      <c r="I116" s="9">
        <v>0.08</v>
      </c>
      <c r="J116" s="8">
        <v>26.23</v>
      </c>
      <c r="K116" s="8">
        <v>1.532748</v>
      </c>
      <c r="L116" s="13">
        <v>8.5199999999999998E-2</v>
      </c>
      <c r="M116" s="8">
        <v>22.27</v>
      </c>
      <c r="N116" s="8">
        <v>2.36</v>
      </c>
      <c r="O116" s="8">
        <v>18.817252</v>
      </c>
      <c r="P116" t="str">
        <f t="shared" si="3"/>
        <v>205130,08</v>
      </c>
      <c r="R116">
        <f t="shared" si="4"/>
        <v>0</v>
      </c>
      <c r="S116" s="12">
        <f t="shared" si="5"/>
        <v>0</v>
      </c>
    </row>
    <row r="117" spans="1:19" x14ac:dyDescent="0.25">
      <c r="A117" s="1">
        <v>7891058001155</v>
      </c>
      <c r="B117" s="1">
        <v>20513</v>
      </c>
      <c r="C117" t="s">
        <v>22</v>
      </c>
      <c r="D117" t="s">
        <v>23</v>
      </c>
      <c r="E117" t="s">
        <v>98</v>
      </c>
      <c r="F117" s="1">
        <v>6</v>
      </c>
      <c r="G117" s="6">
        <v>0.1</v>
      </c>
      <c r="H117" s="8">
        <v>19.55</v>
      </c>
      <c r="I117" s="9">
        <v>0.1</v>
      </c>
      <c r="J117" s="8">
        <v>26.23</v>
      </c>
      <c r="K117" s="8">
        <v>1.4986679999999999</v>
      </c>
      <c r="L117" s="13">
        <v>8.5199999999999998E-2</v>
      </c>
      <c r="M117" s="8">
        <v>22.27</v>
      </c>
      <c r="N117" s="8">
        <v>2.41</v>
      </c>
      <c r="O117" s="8">
        <v>18.501332000000001</v>
      </c>
      <c r="P117" t="str">
        <f t="shared" si="3"/>
        <v>205130,1</v>
      </c>
      <c r="R117">
        <f t="shared" si="4"/>
        <v>0</v>
      </c>
      <c r="S117" s="12">
        <f t="shared" si="5"/>
        <v>0</v>
      </c>
    </row>
    <row r="118" spans="1:19" x14ac:dyDescent="0.25">
      <c r="A118" s="1">
        <v>7891058001155</v>
      </c>
      <c r="B118" s="1">
        <v>20513</v>
      </c>
      <c r="C118" t="s">
        <v>22</v>
      </c>
      <c r="D118" t="s">
        <v>23</v>
      </c>
      <c r="E118" t="s">
        <v>99</v>
      </c>
      <c r="F118" s="1">
        <v>12</v>
      </c>
      <c r="G118" s="6">
        <v>0.12</v>
      </c>
      <c r="H118" s="8">
        <v>19.55</v>
      </c>
      <c r="I118" s="9">
        <v>0.12</v>
      </c>
      <c r="J118" s="8">
        <v>26.23</v>
      </c>
      <c r="K118" s="8">
        <v>1.4654400000000001</v>
      </c>
      <c r="L118" s="13">
        <v>8.5199999999999998E-2</v>
      </c>
      <c r="M118" s="8">
        <v>22.27</v>
      </c>
      <c r="N118" s="8">
        <v>2.4500000000000002</v>
      </c>
      <c r="O118" s="8">
        <v>18.184560000000001</v>
      </c>
      <c r="P118" t="str">
        <f t="shared" si="3"/>
        <v>205130,12</v>
      </c>
      <c r="R118">
        <f t="shared" si="4"/>
        <v>20513</v>
      </c>
      <c r="S118" s="12">
        <f t="shared" si="5"/>
        <v>12</v>
      </c>
    </row>
    <row r="119" spans="1:19" x14ac:dyDescent="0.25">
      <c r="A119" s="4">
        <v>7891058015756</v>
      </c>
      <c r="B119" s="1">
        <v>36957</v>
      </c>
      <c r="C119" s="5">
        <f>VLOOKUP(A119,$A:$D,2,0)</f>
        <v>36957</v>
      </c>
      <c r="D119" s="5" t="s">
        <v>23</v>
      </c>
      <c r="E119" s="5" t="s">
        <v>14</v>
      </c>
      <c r="F119">
        <v>12</v>
      </c>
      <c r="G119" s="6">
        <v>0.19</v>
      </c>
      <c r="H119" s="8">
        <v>28.56</v>
      </c>
      <c r="I119" s="9">
        <v>0.19</v>
      </c>
      <c r="J119" s="8">
        <v>38.31</v>
      </c>
      <c r="K119" s="8">
        <v>1.9706760000000001</v>
      </c>
      <c r="L119" s="13">
        <v>8.5199999999999998E-2</v>
      </c>
      <c r="M119" s="8">
        <v>33.979999999999997</v>
      </c>
      <c r="N119" s="8">
        <v>4.09</v>
      </c>
      <c r="O119" s="8">
        <v>25.249324000000001</v>
      </c>
      <c r="P119" t="str">
        <f t="shared" si="3"/>
        <v>369570,19</v>
      </c>
      <c r="R119">
        <f t="shared" si="4"/>
        <v>0</v>
      </c>
      <c r="S119" s="12">
        <f t="shared" si="5"/>
        <v>0</v>
      </c>
    </row>
    <row r="120" spans="1:19" x14ac:dyDescent="0.25">
      <c r="A120" s="1">
        <v>7891058015756</v>
      </c>
      <c r="B120" s="1">
        <v>36957</v>
      </c>
      <c r="C120" t="s">
        <v>22</v>
      </c>
      <c r="D120" t="s">
        <v>69</v>
      </c>
      <c r="E120" t="s">
        <v>27</v>
      </c>
      <c r="F120">
        <v>1</v>
      </c>
      <c r="G120" s="6">
        <v>0.11</v>
      </c>
      <c r="H120" s="8">
        <v>28.56</v>
      </c>
      <c r="I120" s="9">
        <v>0.11</v>
      </c>
      <c r="J120" s="8">
        <v>38.31</v>
      </c>
      <c r="K120" s="8">
        <v>2.1657839999999999</v>
      </c>
      <c r="L120" s="13">
        <v>8.5199999999999998E-2</v>
      </c>
      <c r="M120" s="8">
        <v>33.979999999999997</v>
      </c>
      <c r="N120" s="8">
        <v>3.84</v>
      </c>
      <c r="O120" s="8">
        <v>27.094215999999999</v>
      </c>
      <c r="P120" t="str">
        <f t="shared" si="3"/>
        <v>369570,11</v>
      </c>
      <c r="R120">
        <f t="shared" si="4"/>
        <v>0</v>
      </c>
      <c r="S120" s="12">
        <f t="shared" si="5"/>
        <v>0</v>
      </c>
    </row>
    <row r="121" spans="1:19" x14ac:dyDescent="0.25">
      <c r="A121" s="4">
        <v>7891058011222</v>
      </c>
      <c r="B121" s="1">
        <v>0</v>
      </c>
      <c r="C121" s="5">
        <f>VLOOKUP(A121,$A:$D,2,0)</f>
        <v>0</v>
      </c>
      <c r="D121" t="s">
        <v>70</v>
      </c>
      <c r="E121" s="5" t="s">
        <v>14</v>
      </c>
      <c r="F121">
        <v>3</v>
      </c>
      <c r="G121" s="6">
        <v>0.19</v>
      </c>
      <c r="H121" s="8">
        <v>247.48</v>
      </c>
      <c r="I121" s="9">
        <v>0.19</v>
      </c>
      <c r="J121" s="8">
        <v>331.99</v>
      </c>
      <c r="K121" s="8">
        <v>17.079191999999999</v>
      </c>
      <c r="L121" s="13">
        <v>8.5199999999999998E-2</v>
      </c>
      <c r="M121" s="8">
        <v>269</v>
      </c>
      <c r="N121" s="8">
        <v>30.45</v>
      </c>
      <c r="O121" s="8">
        <v>213.83080799999999</v>
      </c>
      <c r="P121" t="str">
        <f t="shared" si="3"/>
        <v>00,19</v>
      </c>
      <c r="R121">
        <f t="shared" si="4"/>
        <v>0</v>
      </c>
      <c r="S121" s="12">
        <f t="shared" si="5"/>
        <v>0</v>
      </c>
    </row>
    <row r="122" spans="1:19" x14ac:dyDescent="0.25">
      <c r="A122" s="1">
        <v>7891058011222</v>
      </c>
      <c r="B122" s="1">
        <v>0</v>
      </c>
      <c r="C122" t="s">
        <v>22</v>
      </c>
      <c r="D122" t="s">
        <v>70</v>
      </c>
      <c r="E122" t="s">
        <v>27</v>
      </c>
      <c r="F122">
        <v>1</v>
      </c>
      <c r="G122" s="6">
        <v>0.11</v>
      </c>
      <c r="H122" s="8">
        <v>247.48</v>
      </c>
      <c r="I122" s="9">
        <v>0.11</v>
      </c>
      <c r="J122" s="8">
        <v>331.99</v>
      </c>
      <c r="K122" s="8">
        <v>18.766152000000002</v>
      </c>
      <c r="L122" s="13">
        <v>8.5199999999999998E-2</v>
      </c>
      <c r="M122" s="8">
        <v>269</v>
      </c>
      <c r="N122" s="8">
        <v>28.28</v>
      </c>
      <c r="O122" s="8">
        <v>229.77384799999999</v>
      </c>
      <c r="P122" t="str">
        <f t="shared" si="3"/>
        <v>00,11</v>
      </c>
      <c r="R122">
        <f t="shared" si="4"/>
        <v>0</v>
      </c>
      <c r="S122" s="12">
        <f t="shared" si="5"/>
        <v>0</v>
      </c>
    </row>
    <row r="123" spans="1:19" x14ac:dyDescent="0.25">
      <c r="A123" s="1">
        <v>7891058015770</v>
      </c>
      <c r="B123" s="1">
        <v>36958</v>
      </c>
      <c r="C123" t="s">
        <v>22</v>
      </c>
      <c r="D123" t="s">
        <v>71</v>
      </c>
      <c r="E123" t="s">
        <v>27</v>
      </c>
      <c r="F123">
        <v>1</v>
      </c>
      <c r="G123" s="6">
        <v>0.11</v>
      </c>
      <c r="H123" s="8">
        <v>298.07</v>
      </c>
      <c r="I123" s="9">
        <v>0.11</v>
      </c>
      <c r="J123" s="8">
        <v>399.85</v>
      </c>
      <c r="K123" s="8">
        <v>22.601856000000002</v>
      </c>
      <c r="L123" s="13">
        <v>8.5199999999999998E-2</v>
      </c>
      <c r="M123" s="8">
        <v>350.5</v>
      </c>
      <c r="N123" s="8">
        <v>39.229999999999997</v>
      </c>
      <c r="O123" s="8">
        <v>281.90814399999999</v>
      </c>
      <c r="P123" t="str">
        <f t="shared" si="3"/>
        <v>369580,11</v>
      </c>
      <c r="R123">
        <f t="shared" si="4"/>
        <v>0</v>
      </c>
      <c r="S123" s="12">
        <f t="shared" si="5"/>
        <v>0</v>
      </c>
    </row>
    <row r="124" spans="1:19" x14ac:dyDescent="0.25">
      <c r="A124" s="1">
        <v>7891058002565</v>
      </c>
      <c r="B124" s="1">
        <v>54625</v>
      </c>
      <c r="C124" t="s">
        <v>22</v>
      </c>
      <c r="D124" t="s">
        <v>93</v>
      </c>
      <c r="E124" t="s">
        <v>27</v>
      </c>
      <c r="F124">
        <v>1</v>
      </c>
      <c r="G124" s="6">
        <v>7.0000000000000007E-2</v>
      </c>
      <c r="H124" s="8">
        <v>35.700000000000003</v>
      </c>
      <c r="I124" s="9">
        <v>7.0000000000000007E-2</v>
      </c>
      <c r="J124" s="8">
        <v>47.89</v>
      </c>
      <c r="K124" s="8">
        <v>2.82864</v>
      </c>
      <c r="L124" s="13">
        <v>8.5199999999999998E-2</v>
      </c>
      <c r="M124" s="8">
        <v>39.85</v>
      </c>
      <c r="N124" s="8">
        <v>4.13</v>
      </c>
      <c r="O124" s="8">
        <v>34.501359999999998</v>
      </c>
      <c r="P124" t="str">
        <f t="shared" si="3"/>
        <v>546250,07</v>
      </c>
      <c r="R124">
        <f t="shared" si="4"/>
        <v>0</v>
      </c>
      <c r="S124" s="12">
        <f t="shared" si="5"/>
        <v>0</v>
      </c>
    </row>
    <row r="125" spans="1:19" x14ac:dyDescent="0.25">
      <c r="A125" s="1">
        <v>7891058002565</v>
      </c>
      <c r="B125" s="1">
        <v>54625</v>
      </c>
      <c r="C125" t="s">
        <v>22</v>
      </c>
      <c r="D125" t="s">
        <v>93</v>
      </c>
      <c r="E125" t="s">
        <v>98</v>
      </c>
      <c r="F125">
        <v>4</v>
      </c>
      <c r="G125" s="6">
        <v>0.09</v>
      </c>
      <c r="H125" s="8">
        <v>35.700000000000003</v>
      </c>
      <c r="I125" s="9">
        <v>0.09</v>
      </c>
      <c r="J125" s="8">
        <v>47.89</v>
      </c>
      <c r="K125" s="8">
        <v>2.7681480000000001</v>
      </c>
      <c r="L125" s="13">
        <v>8.5199999999999998E-2</v>
      </c>
      <c r="M125" s="8">
        <v>39.85</v>
      </c>
      <c r="N125" s="8">
        <v>4.2</v>
      </c>
      <c r="O125" s="8">
        <v>33.921852000000001</v>
      </c>
      <c r="P125" t="str">
        <f t="shared" si="3"/>
        <v>546250,09</v>
      </c>
      <c r="R125">
        <f t="shared" si="4"/>
        <v>0</v>
      </c>
      <c r="S125" s="12">
        <f t="shared" si="5"/>
        <v>0</v>
      </c>
    </row>
    <row r="126" spans="1:19" x14ac:dyDescent="0.25">
      <c r="A126" s="1">
        <v>7891058002565</v>
      </c>
      <c r="B126" s="1">
        <v>54625</v>
      </c>
      <c r="C126" t="s">
        <v>22</v>
      </c>
      <c r="D126" t="s">
        <v>93</v>
      </c>
      <c r="E126" t="s">
        <v>99</v>
      </c>
      <c r="F126">
        <v>6</v>
      </c>
      <c r="G126" s="6">
        <v>0.11</v>
      </c>
      <c r="H126" s="8">
        <v>35.700000000000003</v>
      </c>
      <c r="I126" s="9">
        <v>0.11</v>
      </c>
      <c r="J126" s="8">
        <v>47.89</v>
      </c>
      <c r="K126" s="8">
        <v>2.706804</v>
      </c>
      <c r="L126" s="13">
        <v>8.5199999999999998E-2</v>
      </c>
      <c r="M126" s="8">
        <v>39.85</v>
      </c>
      <c r="N126" s="8">
        <v>4.28</v>
      </c>
      <c r="O126" s="8">
        <v>33.343195999999999</v>
      </c>
      <c r="P126" t="str">
        <f t="shared" si="3"/>
        <v>546250,11</v>
      </c>
      <c r="R126">
        <f t="shared" si="4"/>
        <v>54625</v>
      </c>
      <c r="S126" s="12">
        <f t="shared" si="5"/>
        <v>6</v>
      </c>
    </row>
    <row r="127" spans="1:19" x14ac:dyDescent="0.25">
      <c r="A127" s="1">
        <v>7891058467098</v>
      </c>
      <c r="B127" s="1">
        <v>1524</v>
      </c>
      <c r="C127" t="s">
        <v>22</v>
      </c>
      <c r="D127" t="s">
        <v>72</v>
      </c>
      <c r="E127" t="s">
        <v>27</v>
      </c>
      <c r="F127">
        <v>1</v>
      </c>
      <c r="G127" s="6">
        <v>0.09</v>
      </c>
      <c r="H127" s="8">
        <v>18.510000000000002</v>
      </c>
      <c r="I127" s="9">
        <v>0.09</v>
      </c>
      <c r="J127" s="8">
        <v>24.83</v>
      </c>
      <c r="K127" s="8">
        <v>1.434768</v>
      </c>
      <c r="L127" s="13">
        <v>8.5199999999999998E-2</v>
      </c>
      <c r="M127" s="8">
        <v>21.27</v>
      </c>
      <c r="N127" s="8">
        <v>2.2999999999999998</v>
      </c>
      <c r="O127" s="8">
        <v>17.705231999999999</v>
      </c>
      <c r="P127" t="str">
        <f t="shared" si="3"/>
        <v>15240,09</v>
      </c>
      <c r="R127">
        <f t="shared" si="4"/>
        <v>0</v>
      </c>
      <c r="S127" s="12">
        <f t="shared" si="5"/>
        <v>0</v>
      </c>
    </row>
    <row r="128" spans="1:19" x14ac:dyDescent="0.25">
      <c r="A128" s="1">
        <v>7891058008642</v>
      </c>
      <c r="B128" s="1">
        <v>3140</v>
      </c>
      <c r="C128" t="s">
        <v>22</v>
      </c>
      <c r="D128" t="s">
        <v>73</v>
      </c>
      <c r="E128" t="s">
        <v>27</v>
      </c>
      <c r="F128">
        <v>1</v>
      </c>
      <c r="G128" s="6">
        <v>0.09</v>
      </c>
      <c r="H128" s="8">
        <v>321.52999999999997</v>
      </c>
      <c r="I128" s="9">
        <v>0.09</v>
      </c>
      <c r="J128" s="8">
        <v>431.32</v>
      </c>
      <c r="K128" s="8">
        <v>24.928667999999998</v>
      </c>
      <c r="L128" s="13">
        <v>8.5199999999999998E-2</v>
      </c>
      <c r="M128" s="8">
        <v>380.16</v>
      </c>
      <c r="N128" s="8">
        <v>42.01</v>
      </c>
      <c r="O128" s="8">
        <v>309.67133200000001</v>
      </c>
      <c r="P128" t="str">
        <f t="shared" si="3"/>
        <v>31400,09</v>
      </c>
      <c r="R128">
        <f t="shared" si="4"/>
        <v>0</v>
      </c>
      <c r="S128" s="12">
        <f t="shared" si="5"/>
        <v>0</v>
      </c>
    </row>
    <row r="129" spans="1:19" x14ac:dyDescent="0.25">
      <c r="A129" s="1">
        <v>7891058008635</v>
      </c>
      <c r="B129" s="1">
        <v>10671</v>
      </c>
      <c r="C129" t="s">
        <v>22</v>
      </c>
      <c r="D129" t="s">
        <v>74</v>
      </c>
      <c r="E129" t="s">
        <v>27</v>
      </c>
      <c r="F129">
        <v>1</v>
      </c>
      <c r="G129" s="6">
        <v>0.09</v>
      </c>
      <c r="H129" s="8">
        <v>35.64</v>
      </c>
      <c r="I129" s="9">
        <v>0.09</v>
      </c>
      <c r="J129" s="8">
        <v>47.81</v>
      </c>
      <c r="K129" s="8">
        <v>2.763036</v>
      </c>
      <c r="L129" s="13">
        <v>8.5199999999999998E-2</v>
      </c>
      <c r="M129" s="8">
        <v>41.17</v>
      </c>
      <c r="N129" s="8">
        <v>4.47</v>
      </c>
      <c r="O129" s="8">
        <v>34.136963999999999</v>
      </c>
      <c r="P129" t="str">
        <f t="shared" si="3"/>
        <v>106710,09</v>
      </c>
      <c r="R129">
        <f t="shared" si="4"/>
        <v>0</v>
      </c>
      <c r="S129" s="12">
        <f t="shared" si="5"/>
        <v>0</v>
      </c>
    </row>
    <row r="130" spans="1:19" x14ac:dyDescent="0.25">
      <c r="A130" s="4">
        <v>7891058005566</v>
      </c>
      <c r="B130" s="1">
        <v>0</v>
      </c>
      <c r="C130" s="5">
        <f>VLOOKUP(A130,$A:$D,2,0)</f>
        <v>0</v>
      </c>
      <c r="D130" s="5" t="str">
        <f>D131</f>
        <v>NOVALGINA CUP XAROPE 100ML 50MG/ML</v>
      </c>
      <c r="E130" s="5" t="s">
        <v>14</v>
      </c>
      <c r="F130">
        <v>6</v>
      </c>
      <c r="G130" s="6">
        <v>0.19</v>
      </c>
      <c r="H130" s="8">
        <v>37.229999999999997</v>
      </c>
      <c r="I130" s="9">
        <v>0.19</v>
      </c>
      <c r="J130" s="8">
        <v>49.94</v>
      </c>
      <c r="K130" s="8">
        <v>2.5696319999999999</v>
      </c>
      <c r="L130" s="13">
        <v>8.5199999999999998E-2</v>
      </c>
      <c r="M130" s="8">
        <v>43.35</v>
      </c>
      <c r="N130" s="8">
        <v>5.14</v>
      </c>
      <c r="O130" s="8">
        <v>32.730367999999999</v>
      </c>
      <c r="P130" t="str">
        <f t="shared" si="3"/>
        <v>00,19</v>
      </c>
      <c r="R130">
        <f t="shared" si="4"/>
        <v>0</v>
      </c>
      <c r="S130" s="12">
        <f t="shared" si="5"/>
        <v>0</v>
      </c>
    </row>
    <row r="131" spans="1:19" x14ac:dyDescent="0.25">
      <c r="A131" s="1">
        <v>7891058005566</v>
      </c>
      <c r="B131" s="1">
        <v>0</v>
      </c>
      <c r="C131" t="s">
        <v>22</v>
      </c>
      <c r="D131" t="s">
        <v>94</v>
      </c>
      <c r="E131" t="s">
        <v>27</v>
      </c>
      <c r="F131">
        <v>1</v>
      </c>
      <c r="G131" s="6">
        <v>7.0000000000000007E-2</v>
      </c>
      <c r="H131" s="8">
        <v>37.229999999999997</v>
      </c>
      <c r="I131" s="9">
        <v>7.0000000000000007E-2</v>
      </c>
      <c r="J131" s="8">
        <v>49.94</v>
      </c>
      <c r="K131" s="8">
        <v>2.949624</v>
      </c>
      <c r="L131" s="13">
        <v>8.5199999999999998E-2</v>
      </c>
      <c r="M131" s="8">
        <v>43.35</v>
      </c>
      <c r="N131" s="8">
        <v>4.6500000000000004</v>
      </c>
      <c r="O131" s="8">
        <v>36.320376000000003</v>
      </c>
      <c r="P131" t="str">
        <f t="shared" ref="P131:P160" si="6">B131&amp;G131</f>
        <v>00,07</v>
      </c>
      <c r="R131">
        <f t="shared" ref="R131:R160" si="7">IF(S131&gt;0,B131,0)</f>
        <v>0</v>
      </c>
      <c r="S131" s="12">
        <f t="shared" ref="S131:S160" si="8">IF(E131="DEFAULT-FAIXA 2",F131,0)</f>
        <v>0</v>
      </c>
    </row>
    <row r="132" spans="1:19" x14ac:dyDescent="0.25">
      <c r="A132" s="1">
        <v>7891058005566</v>
      </c>
      <c r="B132" s="1">
        <v>0</v>
      </c>
      <c r="C132" t="s">
        <v>22</v>
      </c>
      <c r="D132" t="s">
        <v>94</v>
      </c>
      <c r="E132" t="s">
        <v>98</v>
      </c>
      <c r="F132">
        <v>3</v>
      </c>
      <c r="G132" s="6">
        <v>0.1</v>
      </c>
      <c r="H132" s="8">
        <v>37.229999999999997</v>
      </c>
      <c r="I132" s="9">
        <v>0.1</v>
      </c>
      <c r="J132" s="8">
        <v>49.94</v>
      </c>
      <c r="K132" s="8">
        <v>2.8550520000000001</v>
      </c>
      <c r="L132" s="13">
        <v>8.5199999999999998E-2</v>
      </c>
      <c r="M132" s="8">
        <v>43.35</v>
      </c>
      <c r="N132" s="8">
        <v>4.7699999999999996</v>
      </c>
      <c r="O132" s="8">
        <v>35.424948000000001</v>
      </c>
      <c r="P132" t="str">
        <f t="shared" si="6"/>
        <v>00,1</v>
      </c>
      <c r="R132">
        <f t="shared" si="7"/>
        <v>0</v>
      </c>
      <c r="S132" s="12">
        <f t="shared" si="8"/>
        <v>0</v>
      </c>
    </row>
    <row r="133" spans="1:19" x14ac:dyDescent="0.25">
      <c r="A133" s="1">
        <v>7891058005566</v>
      </c>
      <c r="B133" s="1">
        <v>0</v>
      </c>
      <c r="C133" t="s">
        <v>22</v>
      </c>
      <c r="D133" t="s">
        <v>94</v>
      </c>
      <c r="E133" t="s">
        <v>99</v>
      </c>
      <c r="F133">
        <v>4</v>
      </c>
      <c r="G133" s="6">
        <v>0.11</v>
      </c>
      <c r="H133" s="8">
        <v>37.229999999999997</v>
      </c>
      <c r="I133" s="9">
        <v>0.11</v>
      </c>
      <c r="J133" s="8">
        <v>49.94</v>
      </c>
      <c r="K133" s="8">
        <v>2.822676</v>
      </c>
      <c r="L133" s="13">
        <v>8.5199999999999998E-2</v>
      </c>
      <c r="M133" s="8">
        <v>43.35</v>
      </c>
      <c r="N133" s="8">
        <v>4.8099999999999996</v>
      </c>
      <c r="O133" s="8">
        <v>35.117324000000004</v>
      </c>
      <c r="P133" t="str">
        <f t="shared" si="6"/>
        <v>00,11</v>
      </c>
      <c r="R133">
        <f t="shared" si="7"/>
        <v>0</v>
      </c>
      <c r="S133" s="12">
        <f t="shared" si="8"/>
        <v>4</v>
      </c>
    </row>
    <row r="134" spans="1:19" x14ac:dyDescent="0.25">
      <c r="A134" s="4">
        <v>7891058000172</v>
      </c>
      <c r="B134" s="1">
        <v>0</v>
      </c>
      <c r="C134" s="5">
        <f>VLOOKUP(A134,$A:$D,2,0)</f>
        <v>0</v>
      </c>
      <c r="D134" s="5" t="str">
        <f>D135</f>
        <v>NOVALGINA GOTAS 10ML FCO VIDRO</v>
      </c>
      <c r="E134" s="5" t="s">
        <v>14</v>
      </c>
      <c r="F134">
        <v>6</v>
      </c>
      <c r="G134" s="6">
        <v>0.23</v>
      </c>
      <c r="H134" s="8">
        <v>13.39</v>
      </c>
      <c r="I134" s="9">
        <v>0.23</v>
      </c>
      <c r="J134" s="8">
        <v>17.96</v>
      </c>
      <c r="K134" s="8">
        <v>0.87841199999999997</v>
      </c>
      <c r="L134" s="13">
        <v>8.5199999999999998E-2</v>
      </c>
      <c r="M134" s="8">
        <v>16.09</v>
      </c>
      <c r="N134" s="8">
        <v>2.0099999999999998</v>
      </c>
      <c r="O134" s="8">
        <v>11.441587999999999</v>
      </c>
      <c r="P134" t="str">
        <f t="shared" si="6"/>
        <v>00,23</v>
      </c>
      <c r="R134">
        <f t="shared" si="7"/>
        <v>0</v>
      </c>
      <c r="S134" s="12">
        <f t="shared" si="8"/>
        <v>0</v>
      </c>
    </row>
    <row r="135" spans="1:19" x14ac:dyDescent="0.25">
      <c r="A135" s="1">
        <v>7891058000172</v>
      </c>
      <c r="B135" s="1">
        <v>0</v>
      </c>
      <c r="C135" t="s">
        <v>22</v>
      </c>
      <c r="D135" t="s">
        <v>75</v>
      </c>
      <c r="E135" t="s">
        <v>27</v>
      </c>
      <c r="F135">
        <v>1</v>
      </c>
      <c r="G135" s="6">
        <v>7.0000000000000007E-2</v>
      </c>
      <c r="H135" s="8">
        <v>13.39</v>
      </c>
      <c r="I135" s="9">
        <v>7.0000000000000007E-2</v>
      </c>
      <c r="J135" s="8">
        <v>17.96</v>
      </c>
      <c r="K135" s="8">
        <v>1.06074</v>
      </c>
      <c r="L135" s="13">
        <v>8.5199999999999998E-2</v>
      </c>
      <c r="M135" s="8">
        <v>16.09</v>
      </c>
      <c r="N135" s="8">
        <v>1.77</v>
      </c>
      <c r="O135" s="8">
        <v>13.15926</v>
      </c>
      <c r="P135" t="str">
        <f t="shared" si="6"/>
        <v>00,07</v>
      </c>
      <c r="R135">
        <f t="shared" si="7"/>
        <v>0</v>
      </c>
      <c r="S135" s="12">
        <f t="shared" si="8"/>
        <v>0</v>
      </c>
    </row>
    <row r="136" spans="1:19" x14ac:dyDescent="0.25">
      <c r="A136" s="1">
        <v>7891058000172</v>
      </c>
      <c r="B136" s="1">
        <v>0</v>
      </c>
      <c r="C136" t="s">
        <v>22</v>
      </c>
      <c r="D136" t="s">
        <v>75</v>
      </c>
      <c r="E136" t="s">
        <v>98</v>
      </c>
      <c r="F136">
        <v>3</v>
      </c>
      <c r="G136" s="6">
        <v>0.09</v>
      </c>
      <c r="H136" s="8">
        <v>13.39</v>
      </c>
      <c r="I136" s="9">
        <v>0.09</v>
      </c>
      <c r="J136" s="8">
        <v>17.96</v>
      </c>
      <c r="K136" s="8">
        <v>1.037736</v>
      </c>
      <c r="L136" s="13">
        <v>8.5199999999999998E-2</v>
      </c>
      <c r="M136" s="8">
        <v>16.09</v>
      </c>
      <c r="N136" s="8">
        <v>1.8</v>
      </c>
      <c r="O136" s="8">
        <v>12.942264</v>
      </c>
      <c r="P136" t="str">
        <f t="shared" si="6"/>
        <v>00,09</v>
      </c>
      <c r="R136">
        <f t="shared" si="7"/>
        <v>0</v>
      </c>
      <c r="S136" s="12">
        <f t="shared" si="8"/>
        <v>0</v>
      </c>
    </row>
    <row r="137" spans="1:19" x14ac:dyDescent="0.25">
      <c r="A137" s="1">
        <v>7891058000172</v>
      </c>
      <c r="B137" s="1">
        <v>0</v>
      </c>
      <c r="C137" t="s">
        <v>22</v>
      </c>
      <c r="D137" t="s">
        <v>75</v>
      </c>
      <c r="E137" t="s">
        <v>99</v>
      </c>
      <c r="F137">
        <v>4</v>
      </c>
      <c r="G137" s="6">
        <v>0.11</v>
      </c>
      <c r="H137" s="8">
        <v>13.39</v>
      </c>
      <c r="I137" s="9">
        <v>0.11</v>
      </c>
      <c r="J137" s="8">
        <v>17.96</v>
      </c>
      <c r="K137" s="8">
        <v>1.015584</v>
      </c>
      <c r="L137" s="13">
        <v>8.5199999999999998E-2</v>
      </c>
      <c r="M137" s="8">
        <v>16.09</v>
      </c>
      <c r="N137" s="8">
        <v>1.83</v>
      </c>
      <c r="O137" s="8">
        <v>12.734416</v>
      </c>
      <c r="P137" t="str">
        <f t="shared" si="6"/>
        <v>00,11</v>
      </c>
      <c r="R137">
        <f t="shared" si="7"/>
        <v>0</v>
      </c>
      <c r="S137" s="12">
        <f t="shared" si="8"/>
        <v>4</v>
      </c>
    </row>
    <row r="138" spans="1:19" x14ac:dyDescent="0.25">
      <c r="A138" s="4">
        <v>7891058000165</v>
      </c>
      <c r="B138" s="1">
        <v>1529</v>
      </c>
      <c r="C138" s="5">
        <f>VLOOKUP(A138,$A:$D,2,0)</f>
        <v>1529</v>
      </c>
      <c r="D138" s="5" t="str">
        <f>D139</f>
        <v>NOVALGINA GOTAS 20ML FCO VIDRO</v>
      </c>
      <c r="E138" s="5" t="s">
        <v>14</v>
      </c>
      <c r="F138">
        <v>8</v>
      </c>
      <c r="G138" s="6">
        <v>0.23</v>
      </c>
      <c r="H138" s="8">
        <v>24.63</v>
      </c>
      <c r="I138" s="9">
        <v>0.23</v>
      </c>
      <c r="J138" s="8">
        <v>33.04</v>
      </c>
      <c r="K138" s="8">
        <v>1.616244</v>
      </c>
      <c r="L138" s="13">
        <v>8.5199999999999998E-2</v>
      </c>
      <c r="M138" s="8">
        <v>29.01</v>
      </c>
      <c r="N138" s="8">
        <v>3.58</v>
      </c>
      <c r="O138" s="8">
        <v>20.933755999999999</v>
      </c>
      <c r="P138" t="str">
        <f t="shared" si="6"/>
        <v>15290,23</v>
      </c>
      <c r="R138">
        <f t="shared" si="7"/>
        <v>0</v>
      </c>
      <c r="S138" s="12">
        <f t="shared" si="8"/>
        <v>0</v>
      </c>
    </row>
    <row r="139" spans="1:19" x14ac:dyDescent="0.25">
      <c r="A139" s="1">
        <v>7891058000165</v>
      </c>
      <c r="B139" s="1">
        <v>1529</v>
      </c>
      <c r="C139" t="s">
        <v>22</v>
      </c>
      <c r="D139" t="s">
        <v>95</v>
      </c>
      <c r="E139" t="s">
        <v>27</v>
      </c>
      <c r="F139">
        <v>1</v>
      </c>
      <c r="G139" s="6">
        <v>7.0000000000000007E-2</v>
      </c>
      <c r="H139" s="8">
        <v>24.63</v>
      </c>
      <c r="I139" s="9">
        <v>7.0000000000000007E-2</v>
      </c>
      <c r="J139" s="8">
        <v>33.04</v>
      </c>
      <c r="K139" s="8">
        <v>1.951932</v>
      </c>
      <c r="L139" s="13">
        <v>8.5199999999999998E-2</v>
      </c>
      <c r="M139" s="8">
        <v>29.01</v>
      </c>
      <c r="N139" s="8">
        <v>3.14</v>
      </c>
      <c r="O139" s="8">
        <v>24.098068000000001</v>
      </c>
      <c r="P139" t="str">
        <f t="shared" si="6"/>
        <v>15290,07</v>
      </c>
      <c r="R139">
        <f t="shared" si="7"/>
        <v>0</v>
      </c>
      <c r="S139" s="12">
        <f t="shared" si="8"/>
        <v>0</v>
      </c>
    </row>
    <row r="140" spans="1:19" x14ac:dyDescent="0.25">
      <c r="A140" s="1">
        <v>7891058000165</v>
      </c>
      <c r="B140" s="1">
        <v>1529</v>
      </c>
      <c r="C140" t="s">
        <v>22</v>
      </c>
      <c r="D140" t="s">
        <v>95</v>
      </c>
      <c r="E140" t="s">
        <v>98</v>
      </c>
      <c r="F140">
        <v>3</v>
      </c>
      <c r="G140" s="6">
        <v>0.09</v>
      </c>
      <c r="H140" s="8">
        <v>24.63</v>
      </c>
      <c r="I140" s="9">
        <v>0.09</v>
      </c>
      <c r="J140" s="8">
        <v>33.04</v>
      </c>
      <c r="K140" s="8">
        <v>1.909332</v>
      </c>
      <c r="L140" s="13">
        <v>8.5199999999999998E-2</v>
      </c>
      <c r="M140" s="8">
        <v>29.01</v>
      </c>
      <c r="N140" s="8">
        <v>3.2</v>
      </c>
      <c r="O140" s="8">
        <v>23.700668</v>
      </c>
      <c r="P140" t="str">
        <f t="shared" si="6"/>
        <v>15290,09</v>
      </c>
      <c r="R140">
        <f t="shared" si="7"/>
        <v>0</v>
      </c>
      <c r="S140" s="12">
        <f t="shared" si="8"/>
        <v>0</v>
      </c>
    </row>
    <row r="141" spans="1:19" x14ac:dyDescent="0.25">
      <c r="A141" s="1">
        <v>7891058000165</v>
      </c>
      <c r="B141" s="1">
        <v>1529</v>
      </c>
      <c r="C141" t="s">
        <v>22</v>
      </c>
      <c r="D141" t="s">
        <v>95</v>
      </c>
      <c r="E141" t="s">
        <v>99</v>
      </c>
      <c r="F141">
        <v>6</v>
      </c>
      <c r="G141" s="6">
        <v>0.11</v>
      </c>
      <c r="H141" s="8">
        <v>24.63</v>
      </c>
      <c r="I141" s="9">
        <v>0.11</v>
      </c>
      <c r="J141" s="8">
        <v>33.04</v>
      </c>
      <c r="K141" s="8">
        <v>1.8675839999999999</v>
      </c>
      <c r="L141" s="13">
        <v>8.5199999999999998E-2</v>
      </c>
      <c r="M141" s="8">
        <v>29.01</v>
      </c>
      <c r="N141" s="8">
        <v>3.25</v>
      </c>
      <c r="O141" s="8">
        <v>23.302416000000001</v>
      </c>
      <c r="P141" t="str">
        <f t="shared" si="6"/>
        <v>15290,11</v>
      </c>
      <c r="R141">
        <f t="shared" si="7"/>
        <v>1529</v>
      </c>
      <c r="S141" s="12">
        <f t="shared" si="8"/>
        <v>6</v>
      </c>
    </row>
    <row r="142" spans="1:19" x14ac:dyDescent="0.25">
      <c r="A142" s="4">
        <v>7891058464073</v>
      </c>
      <c r="B142" s="1">
        <v>1525</v>
      </c>
      <c r="C142" s="5">
        <f>VLOOKUP(A142,$A:$D,2,0)</f>
        <v>1525</v>
      </c>
      <c r="D142" s="5" t="str">
        <f>D143</f>
        <v>NOVALGINA SOL ORAL 100ML C/ SERINGA</v>
      </c>
      <c r="E142" s="5" t="s">
        <v>14</v>
      </c>
      <c r="F142">
        <v>8</v>
      </c>
      <c r="G142" s="6">
        <v>0.21</v>
      </c>
      <c r="H142" s="8">
        <v>37.229999999999997</v>
      </c>
      <c r="I142" s="9">
        <v>0.21</v>
      </c>
      <c r="J142" s="8">
        <v>49.94</v>
      </c>
      <c r="K142" s="8">
        <v>2.5057320000000001</v>
      </c>
      <c r="L142" s="13">
        <v>8.5199999999999998E-2</v>
      </c>
      <c r="M142" s="8">
        <v>42.69</v>
      </c>
      <c r="N142" s="8">
        <v>5.09</v>
      </c>
      <c r="O142" s="8">
        <v>31.994268000000002</v>
      </c>
      <c r="P142" t="str">
        <f t="shared" si="6"/>
        <v>15250,21</v>
      </c>
      <c r="R142">
        <f t="shared" si="7"/>
        <v>0</v>
      </c>
      <c r="S142" s="12">
        <f t="shared" si="8"/>
        <v>0</v>
      </c>
    </row>
    <row r="143" spans="1:19" x14ac:dyDescent="0.25">
      <c r="A143" s="4">
        <v>7891058464073</v>
      </c>
      <c r="B143" s="1">
        <v>1525</v>
      </c>
      <c r="C143" s="5" t="s">
        <v>22</v>
      </c>
      <c r="D143" s="5" t="s">
        <v>24</v>
      </c>
      <c r="E143" s="5" t="s">
        <v>17</v>
      </c>
      <c r="F143">
        <v>12</v>
      </c>
      <c r="G143" s="6">
        <v>0.28000000000000003</v>
      </c>
      <c r="H143" s="8">
        <v>37.229999999999997</v>
      </c>
      <c r="I143" s="9">
        <v>0.28000000000000003</v>
      </c>
      <c r="J143" s="8">
        <v>49.94</v>
      </c>
      <c r="K143" s="8">
        <v>2.2842120000000001</v>
      </c>
      <c r="L143" s="13">
        <v>8.5199999999999998E-2</v>
      </c>
      <c r="M143" s="8">
        <v>42.69</v>
      </c>
      <c r="N143" s="8">
        <v>5.38</v>
      </c>
      <c r="O143" s="8">
        <v>29.905788000000001</v>
      </c>
      <c r="P143" t="str">
        <f t="shared" si="6"/>
        <v>15250,28</v>
      </c>
      <c r="R143">
        <f t="shared" si="7"/>
        <v>0</v>
      </c>
      <c r="S143" s="12">
        <f t="shared" si="8"/>
        <v>0</v>
      </c>
    </row>
    <row r="144" spans="1:19" x14ac:dyDescent="0.25">
      <c r="A144" s="1">
        <v>7891058464073</v>
      </c>
      <c r="B144" s="1">
        <v>1525</v>
      </c>
      <c r="C144" t="s">
        <v>22</v>
      </c>
      <c r="D144" t="s">
        <v>24</v>
      </c>
      <c r="E144" t="s">
        <v>27</v>
      </c>
      <c r="F144" s="1">
        <v>1</v>
      </c>
      <c r="G144" s="6">
        <v>0.08</v>
      </c>
      <c r="H144" s="8">
        <v>37.229999999999997</v>
      </c>
      <c r="I144" s="9">
        <v>0.08</v>
      </c>
      <c r="J144" s="8">
        <v>49.94</v>
      </c>
      <c r="K144" s="8">
        <v>2.9180999999999999</v>
      </c>
      <c r="L144" s="13">
        <v>8.5199999999999998E-2</v>
      </c>
      <c r="M144" s="8">
        <v>42.69</v>
      </c>
      <c r="N144" s="8">
        <v>4.5599999999999996</v>
      </c>
      <c r="O144" s="8">
        <v>35.8919</v>
      </c>
      <c r="P144" t="str">
        <f t="shared" si="6"/>
        <v>15250,08</v>
      </c>
      <c r="R144">
        <f t="shared" si="7"/>
        <v>0</v>
      </c>
      <c r="S144" s="12">
        <f t="shared" si="8"/>
        <v>0</v>
      </c>
    </row>
    <row r="145" spans="1:19" x14ac:dyDescent="0.25">
      <c r="A145" s="1">
        <v>7891058464073</v>
      </c>
      <c r="B145" s="1">
        <v>1525</v>
      </c>
      <c r="C145" t="s">
        <v>22</v>
      </c>
      <c r="D145" t="s">
        <v>24</v>
      </c>
      <c r="E145" t="s">
        <v>98</v>
      </c>
      <c r="F145" s="1">
        <v>3</v>
      </c>
      <c r="G145" s="6">
        <v>0.1</v>
      </c>
      <c r="H145" s="8">
        <v>37.229999999999997</v>
      </c>
      <c r="I145" s="9">
        <v>0.1</v>
      </c>
      <c r="J145" s="8">
        <v>49.94</v>
      </c>
      <c r="K145" s="8">
        <v>2.8550520000000001</v>
      </c>
      <c r="L145" s="13">
        <v>8.5199999999999998E-2</v>
      </c>
      <c r="M145" s="8">
        <v>42.69</v>
      </c>
      <c r="N145" s="8">
        <v>4.6399999999999997</v>
      </c>
      <c r="O145" s="8">
        <v>35.294947999999998</v>
      </c>
      <c r="P145" t="str">
        <f t="shared" si="6"/>
        <v>15250,1</v>
      </c>
      <c r="R145">
        <f t="shared" si="7"/>
        <v>0</v>
      </c>
      <c r="S145" s="12">
        <f t="shared" si="8"/>
        <v>0</v>
      </c>
    </row>
    <row r="146" spans="1:19" x14ac:dyDescent="0.25">
      <c r="A146" s="1">
        <v>7891058464073</v>
      </c>
      <c r="B146" s="1">
        <v>1525</v>
      </c>
      <c r="C146" t="s">
        <v>22</v>
      </c>
      <c r="D146" t="s">
        <v>24</v>
      </c>
      <c r="E146" t="s">
        <v>99</v>
      </c>
      <c r="F146" s="1">
        <v>5</v>
      </c>
      <c r="G146" s="6">
        <v>0.12</v>
      </c>
      <c r="H146" s="8">
        <v>37.229999999999997</v>
      </c>
      <c r="I146" s="9">
        <v>0.12</v>
      </c>
      <c r="J146" s="8">
        <v>49.94</v>
      </c>
      <c r="K146" s="8">
        <v>2.7911519999999999</v>
      </c>
      <c r="L146" s="13">
        <v>8.5199999999999998E-2</v>
      </c>
      <c r="M146" s="8">
        <v>42.69</v>
      </c>
      <c r="N146" s="8">
        <v>4.72</v>
      </c>
      <c r="O146" s="8">
        <v>34.688848</v>
      </c>
      <c r="P146" t="str">
        <f t="shared" si="6"/>
        <v>15250,12</v>
      </c>
      <c r="R146">
        <f t="shared" si="7"/>
        <v>1525</v>
      </c>
      <c r="S146" s="12">
        <f t="shared" si="8"/>
        <v>5</v>
      </c>
    </row>
    <row r="147" spans="1:19" x14ac:dyDescent="0.25">
      <c r="A147" s="1">
        <v>7891058022686</v>
      </c>
      <c r="B147" s="1">
        <v>0</v>
      </c>
      <c r="C147" t="s">
        <v>44</v>
      </c>
      <c r="D147" t="s">
        <v>76</v>
      </c>
      <c r="E147" t="s">
        <v>27</v>
      </c>
      <c r="F147">
        <v>1</v>
      </c>
      <c r="G147" s="6">
        <v>0.19500000000000001</v>
      </c>
      <c r="H147" s="8">
        <v>118.1</v>
      </c>
      <c r="I147" s="9">
        <v>0.19500000000000001</v>
      </c>
      <c r="J147" s="8">
        <v>0</v>
      </c>
      <c r="K147" s="8">
        <v>0</v>
      </c>
      <c r="L147" s="13">
        <v>0</v>
      </c>
      <c r="M147" s="8">
        <v>0</v>
      </c>
      <c r="N147" s="8">
        <v>0</v>
      </c>
      <c r="O147" s="8">
        <v>95.07</v>
      </c>
      <c r="P147" t="str">
        <f t="shared" si="6"/>
        <v>00,195</v>
      </c>
      <c r="R147">
        <f t="shared" si="7"/>
        <v>0</v>
      </c>
      <c r="S147" s="12">
        <f t="shared" si="8"/>
        <v>0</v>
      </c>
    </row>
    <row r="148" spans="1:19" x14ac:dyDescent="0.25">
      <c r="A148" s="1">
        <v>7891058005467</v>
      </c>
      <c r="B148" s="1">
        <v>1850</v>
      </c>
      <c r="C148" t="s">
        <v>44</v>
      </c>
      <c r="D148" t="s">
        <v>77</v>
      </c>
      <c r="E148" t="s">
        <v>27</v>
      </c>
      <c r="F148">
        <v>1</v>
      </c>
      <c r="G148" s="6">
        <v>0.1</v>
      </c>
      <c r="H148" s="8">
        <v>33.43</v>
      </c>
      <c r="I148" s="9">
        <v>0.1</v>
      </c>
      <c r="J148" s="8">
        <v>0</v>
      </c>
      <c r="K148" s="8">
        <v>0</v>
      </c>
      <c r="L148" s="13">
        <v>0</v>
      </c>
      <c r="M148" s="8">
        <v>0</v>
      </c>
      <c r="N148" s="8">
        <v>0</v>
      </c>
      <c r="O148" s="8">
        <v>30.09</v>
      </c>
      <c r="P148" t="str">
        <f t="shared" si="6"/>
        <v>18500,1</v>
      </c>
      <c r="R148">
        <f t="shared" si="7"/>
        <v>0</v>
      </c>
      <c r="S148" s="12">
        <f t="shared" si="8"/>
        <v>0</v>
      </c>
    </row>
    <row r="149" spans="1:19" x14ac:dyDescent="0.25">
      <c r="A149" s="1">
        <v>7891058005467</v>
      </c>
      <c r="B149" s="1">
        <v>1850</v>
      </c>
      <c r="C149" t="s">
        <v>44</v>
      </c>
      <c r="D149" t="s">
        <v>77</v>
      </c>
      <c r="E149" t="s">
        <v>98</v>
      </c>
      <c r="F149">
        <v>4</v>
      </c>
      <c r="G149" s="6">
        <v>0.15</v>
      </c>
      <c r="H149" s="8">
        <v>33.43</v>
      </c>
      <c r="I149" s="9">
        <v>0.15</v>
      </c>
      <c r="J149" s="8">
        <v>0</v>
      </c>
      <c r="K149" s="8">
        <v>0</v>
      </c>
      <c r="L149" s="13">
        <v>0</v>
      </c>
      <c r="M149" s="8">
        <v>0</v>
      </c>
      <c r="N149" s="8">
        <v>0</v>
      </c>
      <c r="O149" s="8">
        <v>28.42</v>
      </c>
      <c r="P149" t="str">
        <f t="shared" si="6"/>
        <v>18500,15</v>
      </c>
      <c r="R149">
        <f t="shared" si="7"/>
        <v>0</v>
      </c>
      <c r="S149" s="12">
        <f t="shared" si="8"/>
        <v>0</v>
      </c>
    </row>
    <row r="150" spans="1:19" x14ac:dyDescent="0.25">
      <c r="A150" s="1">
        <v>7891058005467</v>
      </c>
      <c r="B150" s="1">
        <v>1850</v>
      </c>
      <c r="C150" t="s">
        <v>44</v>
      </c>
      <c r="D150" t="s">
        <v>77</v>
      </c>
      <c r="E150" t="s">
        <v>99</v>
      </c>
      <c r="F150">
        <v>8</v>
      </c>
      <c r="G150" s="6">
        <v>0.2</v>
      </c>
      <c r="H150" s="8">
        <v>33.43</v>
      </c>
      <c r="I150" s="9">
        <v>0.2</v>
      </c>
      <c r="J150" s="8">
        <v>0</v>
      </c>
      <c r="K150" s="8">
        <v>0</v>
      </c>
      <c r="L150" s="13">
        <v>0</v>
      </c>
      <c r="M150" s="8">
        <v>0</v>
      </c>
      <c r="N150" s="8">
        <v>0</v>
      </c>
      <c r="O150" s="8">
        <v>26.74</v>
      </c>
      <c r="P150" t="str">
        <f t="shared" si="6"/>
        <v>18500,2</v>
      </c>
      <c r="R150">
        <f t="shared" si="7"/>
        <v>1850</v>
      </c>
      <c r="S150" s="12">
        <f t="shared" si="8"/>
        <v>8</v>
      </c>
    </row>
    <row r="151" spans="1:19" x14ac:dyDescent="0.25">
      <c r="A151" s="1">
        <v>7891058021726</v>
      </c>
      <c r="B151" s="1">
        <v>5346</v>
      </c>
      <c r="C151" t="s">
        <v>44</v>
      </c>
      <c r="D151" t="s">
        <v>96</v>
      </c>
      <c r="E151" t="s">
        <v>27</v>
      </c>
      <c r="F151">
        <v>1</v>
      </c>
      <c r="G151" s="6">
        <v>0.23</v>
      </c>
      <c r="H151" s="8">
        <v>56.75</v>
      </c>
      <c r="I151" s="9">
        <v>0.23</v>
      </c>
      <c r="J151" s="8">
        <v>0</v>
      </c>
      <c r="K151" s="8">
        <v>0</v>
      </c>
      <c r="L151" s="13">
        <v>0</v>
      </c>
      <c r="M151" s="8">
        <v>0</v>
      </c>
      <c r="N151" s="8">
        <v>0</v>
      </c>
      <c r="O151" s="8">
        <v>43.7</v>
      </c>
      <c r="P151" t="str">
        <f t="shared" si="6"/>
        <v>53460,23</v>
      </c>
      <c r="R151">
        <f t="shared" si="7"/>
        <v>0</v>
      </c>
      <c r="S151" s="12">
        <f t="shared" si="8"/>
        <v>0</v>
      </c>
    </row>
    <row r="152" spans="1:19" x14ac:dyDescent="0.25">
      <c r="A152" s="1">
        <v>7891058021702</v>
      </c>
      <c r="B152" s="1">
        <v>0</v>
      </c>
      <c r="C152" t="s">
        <v>44</v>
      </c>
      <c r="D152" t="s">
        <v>78</v>
      </c>
      <c r="E152" t="s">
        <v>27</v>
      </c>
      <c r="F152">
        <v>1</v>
      </c>
      <c r="G152" s="6">
        <v>0.23</v>
      </c>
      <c r="H152" s="8">
        <v>102.37</v>
      </c>
      <c r="I152" s="9">
        <v>0.23</v>
      </c>
      <c r="J152" s="8">
        <v>0</v>
      </c>
      <c r="K152" s="8">
        <v>0</v>
      </c>
      <c r="L152" s="13">
        <v>0</v>
      </c>
      <c r="M152" s="8">
        <v>0</v>
      </c>
      <c r="N152" s="8">
        <v>0</v>
      </c>
      <c r="O152" s="8">
        <v>78.819999999999993</v>
      </c>
      <c r="P152" t="str">
        <f t="shared" si="6"/>
        <v>00,23</v>
      </c>
      <c r="R152">
        <f t="shared" si="7"/>
        <v>0</v>
      </c>
      <c r="S152" s="12">
        <f t="shared" si="8"/>
        <v>0</v>
      </c>
    </row>
    <row r="153" spans="1:19" x14ac:dyDescent="0.25">
      <c r="A153" s="1">
        <v>7891058006525</v>
      </c>
      <c r="B153" s="1">
        <v>0</v>
      </c>
      <c r="C153" t="s">
        <v>44</v>
      </c>
      <c r="D153" t="s">
        <v>79</v>
      </c>
      <c r="E153" t="s">
        <v>27</v>
      </c>
      <c r="F153">
        <v>1</v>
      </c>
      <c r="G153" s="6">
        <v>7.0000000000000007E-2</v>
      </c>
      <c r="H153" s="8">
        <v>38.08</v>
      </c>
      <c r="I153" s="9">
        <v>7.0000000000000007E-2</v>
      </c>
      <c r="J153" s="8">
        <v>0</v>
      </c>
      <c r="K153" s="8">
        <v>0</v>
      </c>
      <c r="L153" s="13">
        <v>0</v>
      </c>
      <c r="M153" s="8">
        <v>0</v>
      </c>
      <c r="N153" s="8">
        <v>0</v>
      </c>
      <c r="O153" s="8">
        <v>35.409999999999997</v>
      </c>
      <c r="P153" t="str">
        <f t="shared" si="6"/>
        <v>00,07</v>
      </c>
      <c r="R153">
        <f t="shared" si="7"/>
        <v>0</v>
      </c>
      <c r="S153" s="12">
        <f t="shared" si="8"/>
        <v>0</v>
      </c>
    </row>
    <row r="154" spans="1:19" x14ac:dyDescent="0.25">
      <c r="A154" s="1">
        <v>7891058006525</v>
      </c>
      <c r="B154" s="1">
        <v>0</v>
      </c>
      <c r="C154" t="s">
        <v>44</v>
      </c>
      <c r="D154" t="s">
        <v>79</v>
      </c>
      <c r="E154" t="s">
        <v>98</v>
      </c>
      <c r="F154">
        <v>3</v>
      </c>
      <c r="G154" s="6">
        <v>0.09</v>
      </c>
      <c r="H154" s="8">
        <v>38.08</v>
      </c>
      <c r="I154" s="9">
        <v>0.09</v>
      </c>
      <c r="J154" s="8">
        <v>0</v>
      </c>
      <c r="K154" s="8">
        <v>0</v>
      </c>
      <c r="L154" s="13">
        <v>0</v>
      </c>
      <c r="M154" s="8">
        <v>0</v>
      </c>
      <c r="N154" s="8">
        <v>0</v>
      </c>
      <c r="O154" s="8">
        <v>34.65</v>
      </c>
      <c r="P154" t="str">
        <f t="shared" si="6"/>
        <v>00,09</v>
      </c>
      <c r="R154">
        <f t="shared" si="7"/>
        <v>0</v>
      </c>
      <c r="S154" s="12">
        <f t="shared" si="8"/>
        <v>0</v>
      </c>
    </row>
    <row r="155" spans="1:19" x14ac:dyDescent="0.25">
      <c r="A155" s="1">
        <v>7891058006525</v>
      </c>
      <c r="B155" s="1">
        <v>0</v>
      </c>
      <c r="C155" t="s">
        <v>44</v>
      </c>
      <c r="D155" t="s">
        <v>79</v>
      </c>
      <c r="E155" t="s">
        <v>99</v>
      </c>
      <c r="F155">
        <v>6</v>
      </c>
      <c r="G155" s="6">
        <v>0.12</v>
      </c>
      <c r="H155" s="8">
        <v>38.08</v>
      </c>
      <c r="I155" s="9">
        <v>0.12</v>
      </c>
      <c r="J155" s="8">
        <v>0</v>
      </c>
      <c r="K155" s="8">
        <v>0</v>
      </c>
      <c r="L155" s="13">
        <v>0</v>
      </c>
      <c r="M155" s="8">
        <v>0</v>
      </c>
      <c r="N155" s="8">
        <v>0</v>
      </c>
      <c r="O155" s="8">
        <v>33.51</v>
      </c>
      <c r="P155" t="str">
        <f t="shared" si="6"/>
        <v>00,12</v>
      </c>
      <c r="R155">
        <f t="shared" si="7"/>
        <v>0</v>
      </c>
      <c r="S155" s="12">
        <f t="shared" si="8"/>
        <v>6</v>
      </c>
    </row>
    <row r="156" spans="1:19" x14ac:dyDescent="0.25">
      <c r="A156" s="1">
        <v>7891058006518</v>
      </c>
      <c r="B156" s="1">
        <v>0</v>
      </c>
      <c r="C156" t="s">
        <v>44</v>
      </c>
      <c r="D156" t="s">
        <v>80</v>
      </c>
      <c r="E156" t="s">
        <v>27</v>
      </c>
      <c r="F156">
        <v>1</v>
      </c>
      <c r="G156" s="6">
        <v>7.0000000000000007E-2</v>
      </c>
      <c r="H156" s="8">
        <v>26.53</v>
      </c>
      <c r="I156" s="9">
        <v>7.0000000000000007E-2</v>
      </c>
      <c r="J156" s="8">
        <v>0</v>
      </c>
      <c r="K156" s="8">
        <v>0</v>
      </c>
      <c r="L156" s="13">
        <v>0</v>
      </c>
      <c r="M156" s="8">
        <v>0</v>
      </c>
      <c r="N156" s="8">
        <v>0</v>
      </c>
      <c r="O156" s="8">
        <v>24.67</v>
      </c>
      <c r="P156" t="str">
        <f t="shared" si="6"/>
        <v>00,07</v>
      </c>
      <c r="R156">
        <f t="shared" si="7"/>
        <v>0</v>
      </c>
      <c r="S156" s="12">
        <f t="shared" si="8"/>
        <v>0</v>
      </c>
    </row>
    <row r="157" spans="1:19" x14ac:dyDescent="0.25">
      <c r="A157" s="1">
        <v>7891058006518</v>
      </c>
      <c r="B157" s="1">
        <v>0</v>
      </c>
      <c r="C157" t="s">
        <v>44</v>
      </c>
      <c r="D157" t="s">
        <v>80</v>
      </c>
      <c r="E157" t="s">
        <v>98</v>
      </c>
      <c r="F157">
        <v>3</v>
      </c>
      <c r="G157" s="6">
        <v>0.09</v>
      </c>
      <c r="H157" s="8">
        <v>26.53</v>
      </c>
      <c r="I157" s="9">
        <v>0.09</v>
      </c>
      <c r="J157" s="8">
        <v>0</v>
      </c>
      <c r="K157" s="8">
        <v>0</v>
      </c>
      <c r="L157" s="13">
        <v>0</v>
      </c>
      <c r="M157" s="8">
        <v>0</v>
      </c>
      <c r="N157" s="8">
        <v>0</v>
      </c>
      <c r="O157" s="8">
        <v>24.14</v>
      </c>
      <c r="P157" t="str">
        <f t="shared" si="6"/>
        <v>00,09</v>
      </c>
      <c r="R157">
        <f t="shared" si="7"/>
        <v>0</v>
      </c>
      <c r="S157" s="12">
        <f t="shared" si="8"/>
        <v>0</v>
      </c>
    </row>
    <row r="158" spans="1:19" x14ac:dyDescent="0.25">
      <c r="A158" s="1">
        <v>7891058006518</v>
      </c>
      <c r="B158" s="1">
        <v>0</v>
      </c>
      <c r="C158" t="s">
        <v>44</v>
      </c>
      <c r="D158" t="s">
        <v>80</v>
      </c>
      <c r="E158" t="s">
        <v>99</v>
      </c>
      <c r="F158">
        <v>6</v>
      </c>
      <c r="G158" s="6">
        <v>0.12</v>
      </c>
      <c r="H158" s="8">
        <v>26.53</v>
      </c>
      <c r="I158" s="9">
        <v>0.12</v>
      </c>
      <c r="J158" s="8">
        <v>0</v>
      </c>
      <c r="K158" s="8">
        <v>0</v>
      </c>
      <c r="L158" s="13">
        <v>0</v>
      </c>
      <c r="M158" s="8">
        <v>0</v>
      </c>
      <c r="N158" s="8">
        <v>0</v>
      </c>
      <c r="O158" s="8">
        <v>23.35</v>
      </c>
      <c r="P158" t="str">
        <f t="shared" si="6"/>
        <v>00,12</v>
      </c>
      <c r="R158">
        <f t="shared" si="7"/>
        <v>0</v>
      </c>
      <c r="S158" s="12">
        <f t="shared" si="8"/>
        <v>6</v>
      </c>
    </row>
    <row r="159" spans="1:19" x14ac:dyDescent="0.25">
      <c r="A159" s="1">
        <v>7891058005870</v>
      </c>
      <c r="B159" s="1">
        <v>33463</v>
      </c>
      <c r="C159" t="s">
        <v>44</v>
      </c>
      <c r="D159" t="s">
        <v>81</v>
      </c>
      <c r="E159" t="s">
        <v>27</v>
      </c>
      <c r="F159">
        <v>1</v>
      </c>
      <c r="G159" s="6">
        <v>0.09</v>
      </c>
      <c r="H159" s="8">
        <v>51.84</v>
      </c>
      <c r="I159" s="9">
        <v>0.09</v>
      </c>
      <c r="J159" s="8">
        <v>0</v>
      </c>
      <c r="K159" s="8">
        <v>0</v>
      </c>
      <c r="L159" s="13">
        <v>0</v>
      </c>
      <c r="M159" s="8">
        <v>0</v>
      </c>
      <c r="N159" s="8">
        <v>0</v>
      </c>
      <c r="O159" s="8">
        <v>47.17</v>
      </c>
      <c r="P159" t="str">
        <f t="shared" si="6"/>
        <v>334630,09</v>
      </c>
      <c r="R159">
        <f t="shared" si="7"/>
        <v>0</v>
      </c>
      <c r="S159" s="12">
        <f t="shared" si="8"/>
        <v>0</v>
      </c>
    </row>
    <row r="160" spans="1:19" x14ac:dyDescent="0.25">
      <c r="A160" s="1">
        <v>7891058005887</v>
      </c>
      <c r="B160" s="1">
        <v>0</v>
      </c>
      <c r="C160" t="s">
        <v>44</v>
      </c>
      <c r="D160" t="s">
        <v>97</v>
      </c>
      <c r="E160" t="s">
        <v>27</v>
      </c>
      <c r="F160">
        <v>1</v>
      </c>
      <c r="G160" s="6">
        <v>0.09</v>
      </c>
      <c r="H160" s="8">
        <v>87.51</v>
      </c>
      <c r="I160" s="9">
        <v>0.09</v>
      </c>
      <c r="J160" s="8">
        <v>0</v>
      </c>
      <c r="K160" s="8">
        <v>0</v>
      </c>
      <c r="L160" s="13">
        <v>0</v>
      </c>
      <c r="M160" s="8">
        <v>0</v>
      </c>
      <c r="N160" s="8">
        <v>0</v>
      </c>
      <c r="O160" s="8">
        <v>79.63</v>
      </c>
      <c r="P160" t="str">
        <f t="shared" si="6"/>
        <v>00,09</v>
      </c>
      <c r="R160">
        <f t="shared" si="7"/>
        <v>0</v>
      </c>
      <c r="S160" s="12">
        <f t="shared" si="8"/>
        <v>0</v>
      </c>
    </row>
  </sheetData>
  <autoFilter ref="A1:O160" xr:uid="{910433FC-F116-4361-B7C0-82FC45B88484}"/>
  <pageMargins left="0.511811024" right="0.511811024" top="0.78740157499999996" bottom="0.78740157499999996" header="0.31496062000000002" footer="0.31496062000000002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Freitas, Thyago /BR Opella</dc:creator>
  <cp:lastModifiedBy>Evaldo Alves</cp:lastModifiedBy>
  <cp:lastPrinted>2026-02-25T12:32:54Z</cp:lastPrinted>
  <dcterms:created xsi:type="dcterms:W3CDTF">2026-02-23T14:42:22Z</dcterms:created>
  <dcterms:modified xsi:type="dcterms:W3CDTF">2026-06-26T15:12:22Z</dcterms:modified>
</cp:coreProperties>
</file>